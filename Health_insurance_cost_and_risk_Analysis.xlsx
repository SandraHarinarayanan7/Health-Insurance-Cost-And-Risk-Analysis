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613d2359f6a3f842/Documents/"/>
    </mc:Choice>
  </mc:AlternateContent>
  <xr:revisionPtr revIDLastSave="3" documentId="13_ncr:1_{D137B498-5095-4E07-95F1-CD3088EF5995}" xr6:coauthVersionLast="47" xr6:coauthVersionMax="47" xr10:uidLastSave="{AFAF5692-2D5D-4339-AA04-8624B5BC37E9}"/>
  <bookViews>
    <workbookView xWindow="-108" yWindow="-108" windowWidth="23256" windowHeight="12456" activeTab="2" xr2:uid="{C5BB0B58-2B64-4868-9109-66442F9AC5A4}"/>
  </bookViews>
  <sheets>
    <sheet name="health_insurance_cost_and_risk_" sheetId="1" r:id="rId1"/>
    <sheet name="Sheet1" sheetId="2" r:id="rId2"/>
    <sheet name="Sheet2" sheetId="3" r:id="rId3"/>
  </sheets>
  <definedNames>
    <definedName name="_xlnm._FilterDatabase" localSheetId="0" hidden="1">health_insurance_cost_and_risk_!$A$1:$M$1</definedName>
    <definedName name="Slicer_Age_Category">#N/A</definedName>
    <definedName name="Slicer_Exercise_frequency">#N/A</definedName>
    <definedName name="Slicer_Occupation_risk">#N/A</definedName>
    <definedName name="Slicer_Region">#N/A</definedName>
    <definedName name="Slicer_Sex">#N/A</definedName>
    <definedName name="Slicer_Smok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a="1"/>
  <c r="M3" i="1" s="1"/>
  <c r="M4" i="1" a="1"/>
  <c r="M4" i="1" s="1"/>
  <c r="M5" i="1" a="1"/>
  <c r="M5" i="1" s="1"/>
  <c r="M6" i="1" a="1"/>
  <c r="M6" i="1" s="1"/>
  <c r="M7" i="1" a="1"/>
  <c r="M7" i="1"/>
  <c r="M8" i="1" a="1"/>
  <c r="M8" i="1"/>
  <c r="M9" i="1" a="1"/>
  <c r="M9" i="1" s="1"/>
  <c r="M10" i="1" a="1"/>
  <c r="M10" i="1" s="1"/>
  <c r="M11" i="1" a="1"/>
  <c r="M11" i="1"/>
  <c r="M12" i="1" a="1"/>
  <c r="M12" i="1" s="1"/>
  <c r="M13" i="1" a="1"/>
  <c r="M13" i="1" s="1"/>
  <c r="M14" i="1" a="1"/>
  <c r="M14" i="1" s="1"/>
  <c r="M15" i="1" a="1"/>
  <c r="M15" i="1" s="1"/>
  <c r="M16" i="1" a="1"/>
  <c r="M16" i="1"/>
  <c r="M17" i="1" a="1"/>
  <c r="M17" i="1" s="1"/>
  <c r="M18" i="1" a="1"/>
  <c r="M18" i="1" s="1"/>
  <c r="M19" i="1" a="1"/>
  <c r="M19" i="1"/>
  <c r="M20" i="1" a="1"/>
  <c r="M20" i="1"/>
  <c r="M21" i="1" a="1"/>
  <c r="M21" i="1" s="1"/>
  <c r="M22" i="1" a="1"/>
  <c r="M22" i="1" s="1"/>
  <c r="M23" i="1" a="1"/>
  <c r="M23" i="1" s="1"/>
  <c r="M24" i="1" a="1"/>
  <c r="M24" i="1" s="1"/>
  <c r="M25" i="1" a="1"/>
  <c r="M25" i="1" s="1"/>
  <c r="M26" i="1" a="1"/>
  <c r="M26" i="1"/>
  <c r="M27" i="1" a="1"/>
  <c r="M27" i="1" s="1"/>
  <c r="M28" i="1" a="1"/>
  <c r="M28" i="1" s="1"/>
  <c r="M29" i="1" a="1"/>
  <c r="M29" i="1" s="1"/>
  <c r="M30" i="1" a="1"/>
  <c r="M30" i="1" s="1"/>
  <c r="M31" i="1" a="1"/>
  <c r="M31" i="1" s="1"/>
  <c r="M32" i="1" a="1"/>
  <c r="M32" i="1"/>
  <c r="M33" i="1" a="1"/>
  <c r="M33" i="1" s="1"/>
  <c r="M34" i="1" a="1"/>
  <c r="M34" i="1"/>
  <c r="M35" i="1" a="1"/>
  <c r="M35" i="1" s="1"/>
  <c r="M36" i="1" a="1"/>
  <c r="M36" i="1" s="1"/>
  <c r="M37" i="1" a="1"/>
  <c r="M37" i="1"/>
  <c r="M38" i="1" a="1"/>
  <c r="M38" i="1"/>
  <c r="M39" i="1" a="1"/>
  <c r="M39" i="1" s="1"/>
  <c r="M40" i="1" a="1"/>
  <c r="M40" i="1"/>
  <c r="M41" i="1" a="1"/>
  <c r="M41" i="1" s="1"/>
  <c r="M42" i="1" a="1"/>
  <c r="M42" i="1" s="1"/>
  <c r="M43" i="1" a="1"/>
  <c r="M43" i="1" s="1"/>
  <c r="M44" i="1" a="1"/>
  <c r="M44" i="1"/>
  <c r="M45" i="1" a="1"/>
  <c r="M45" i="1" s="1"/>
  <c r="M46" i="1" a="1"/>
  <c r="M46" i="1" s="1"/>
  <c r="M47" i="1" a="1"/>
  <c r="M47" i="1" s="1"/>
  <c r="M48" i="1" a="1"/>
  <c r="M48" i="1" s="1"/>
  <c r="M49" i="1" a="1"/>
  <c r="M49" i="1" s="1"/>
  <c r="M50" i="1" a="1"/>
  <c r="M50" i="1" s="1"/>
  <c r="M51" i="1" a="1"/>
  <c r="M51" i="1" s="1"/>
  <c r="M52" i="1" a="1"/>
  <c r="M52" i="1"/>
  <c r="M53" i="1" a="1"/>
  <c r="M53" i="1" s="1"/>
  <c r="M54" i="1" a="1"/>
  <c r="M54" i="1" s="1"/>
  <c r="M55" i="1" a="1"/>
  <c r="M55" i="1"/>
  <c r="M56" i="1" a="1"/>
  <c r="M56" i="1"/>
  <c r="M57" i="1" a="1"/>
  <c r="M57" i="1" s="1"/>
  <c r="M58" i="1" a="1"/>
  <c r="M58" i="1" s="1"/>
  <c r="M59" i="1" a="1"/>
  <c r="M59" i="1" s="1"/>
  <c r="M60" i="1" a="1"/>
  <c r="M60" i="1" s="1"/>
  <c r="M61" i="1" a="1"/>
  <c r="M61" i="1" s="1"/>
  <c r="M62" i="1" a="1"/>
  <c r="M62" i="1"/>
  <c r="M63" i="1" a="1"/>
  <c r="M63" i="1" s="1"/>
  <c r="M64" i="1" a="1"/>
  <c r="M64" i="1" s="1"/>
  <c r="M65" i="1" a="1"/>
  <c r="M65" i="1" s="1"/>
  <c r="M66" i="1" a="1"/>
  <c r="M66" i="1" s="1"/>
  <c r="M67" i="1" a="1"/>
  <c r="M67" i="1" s="1"/>
  <c r="M68" i="1" a="1"/>
  <c r="M68" i="1"/>
  <c r="M69" i="1" a="1"/>
  <c r="M69" i="1" s="1"/>
  <c r="M70" i="1" a="1"/>
  <c r="M70" i="1"/>
  <c r="M71" i="1" a="1"/>
  <c r="M71" i="1" s="1"/>
  <c r="M72" i="1" a="1"/>
  <c r="M72" i="1" s="1"/>
  <c r="M73" i="1" a="1"/>
  <c r="M73" i="1"/>
  <c r="M74" i="1" a="1"/>
  <c r="M74" i="1"/>
  <c r="M75" i="1" a="1"/>
  <c r="M75" i="1" s="1"/>
  <c r="M76" i="1" a="1"/>
  <c r="M76" i="1"/>
  <c r="M77" i="1" a="1"/>
  <c r="M77" i="1" s="1"/>
  <c r="M78" i="1" a="1"/>
  <c r="M78" i="1" s="1"/>
  <c r="M79" i="1" a="1"/>
  <c r="M79" i="1"/>
  <c r="M80" i="1" a="1"/>
  <c r="M80" i="1"/>
  <c r="M81" i="1" a="1"/>
  <c r="M81" i="1" s="1"/>
  <c r="M82" i="1" a="1"/>
  <c r="M82" i="1" s="1"/>
  <c r="M83" i="1" a="1"/>
  <c r="M83" i="1"/>
  <c r="M84" i="1" a="1"/>
  <c r="M84" i="1" s="1"/>
  <c r="M85" i="1" a="1"/>
  <c r="M85" i="1" s="1"/>
  <c r="M86" i="1" a="1"/>
  <c r="M86" i="1" s="1"/>
  <c r="M87" i="1" a="1"/>
  <c r="M87" i="1" s="1"/>
  <c r="M88" i="1" a="1"/>
  <c r="M88" i="1" s="1"/>
  <c r="M89" i="1" a="1"/>
  <c r="M89" i="1" s="1"/>
  <c r="M90" i="1" a="1"/>
  <c r="M90" i="1" s="1"/>
  <c r="M91" i="1" a="1"/>
  <c r="M91" i="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c r="M105" i="1" a="1"/>
  <c r="M105" i="1" s="1"/>
  <c r="M106" i="1" a="1"/>
  <c r="M106" i="1"/>
  <c r="M107" i="1" a="1"/>
  <c r="M107" i="1" s="1"/>
  <c r="M108" i="1" a="1"/>
  <c r="M108" i="1" s="1"/>
  <c r="M109" i="1" a="1"/>
  <c r="M109" i="1"/>
  <c r="M110" i="1" a="1"/>
  <c r="M110" i="1"/>
  <c r="M111" i="1" a="1"/>
  <c r="M111" i="1" s="1"/>
  <c r="M112" i="1" a="1"/>
  <c r="M112" i="1"/>
  <c r="M113" i="1" a="1"/>
  <c r="M113" i="1" s="1"/>
  <c r="M114" i="1" a="1"/>
  <c r="M114" i="1" s="1"/>
  <c r="M115" i="1" a="1"/>
  <c r="M115" i="1" s="1"/>
  <c r="M116" i="1" a="1"/>
  <c r="M116" i="1"/>
  <c r="M117" i="1" a="1"/>
  <c r="M117" i="1" s="1"/>
  <c r="M118" i="1" a="1"/>
  <c r="M118" i="1" s="1"/>
  <c r="M119" i="1" a="1"/>
  <c r="M119" i="1" s="1"/>
  <c r="M120" i="1" a="1"/>
  <c r="M120" i="1" s="1"/>
  <c r="M121" i="1" a="1"/>
  <c r="M121" i="1" s="1"/>
  <c r="M122" i="1" a="1"/>
  <c r="M122" i="1" s="1"/>
  <c r="M123" i="1" a="1"/>
  <c r="M123" i="1" s="1"/>
  <c r="M124" i="1" a="1"/>
  <c r="M124" i="1"/>
  <c r="M125" i="1" a="1"/>
  <c r="M125" i="1" s="1"/>
  <c r="M126" i="1" a="1"/>
  <c r="M126" i="1" s="1"/>
  <c r="M127" i="1" a="1"/>
  <c r="M127" i="1"/>
  <c r="M128" i="1" a="1"/>
  <c r="M128" i="1"/>
  <c r="M129" i="1" a="1"/>
  <c r="M129" i="1" s="1"/>
  <c r="M130" i="1" a="1"/>
  <c r="M130" i="1" s="1"/>
  <c r="M131" i="1" a="1"/>
  <c r="M131" i="1"/>
  <c r="M132" i="1" a="1"/>
  <c r="M132" i="1" s="1"/>
  <c r="M133" i="1" a="1"/>
  <c r="M133" i="1" s="1"/>
  <c r="M134" i="1" a="1"/>
  <c r="M134" i="1" s="1"/>
  <c r="M135" i="1" a="1"/>
  <c r="M135" i="1" s="1"/>
  <c r="M136" i="1" a="1"/>
  <c r="M136" i="1" s="1"/>
  <c r="M137" i="1" a="1"/>
  <c r="M137" i="1" s="1"/>
  <c r="M138" i="1" a="1"/>
  <c r="M138" i="1" s="1"/>
  <c r="M139" i="1" a="1"/>
  <c r="M139" i="1" s="1"/>
  <c r="M140" i="1" a="1"/>
  <c r="M140" i="1" s="1"/>
  <c r="M141" i="1" a="1"/>
  <c r="M141" i="1" s="1"/>
  <c r="M142" i="1" a="1"/>
  <c r="M142" i="1"/>
  <c r="M143" i="1" a="1"/>
  <c r="M143" i="1" s="1"/>
  <c r="M144" i="1" a="1"/>
  <c r="M144" i="1" s="1"/>
  <c r="M145" i="1" a="1"/>
  <c r="M145" i="1" s="1"/>
  <c r="M146" i="1" a="1"/>
  <c r="M146" i="1" s="1"/>
  <c r="M147" i="1" a="1"/>
  <c r="M147" i="1" s="1"/>
  <c r="M148" i="1" a="1"/>
  <c r="M148" i="1"/>
  <c r="M149" i="1" a="1"/>
  <c r="M149" i="1" s="1"/>
  <c r="M150" i="1" a="1"/>
  <c r="M150" i="1" s="1"/>
  <c r="M151" i="1" a="1"/>
  <c r="M151" i="1"/>
  <c r="M152" i="1" a="1"/>
  <c r="M152" i="1"/>
  <c r="M153" i="1" a="1"/>
  <c r="M153" i="1" s="1"/>
  <c r="M154" i="1" a="1"/>
  <c r="M154" i="1" s="1"/>
  <c r="M155" i="1" a="1"/>
  <c r="M155" i="1"/>
  <c r="M156" i="1" a="1"/>
  <c r="M156" i="1" s="1"/>
  <c r="M157" i="1" a="1"/>
  <c r="M157" i="1" s="1"/>
  <c r="M158" i="1" a="1"/>
  <c r="M158" i="1"/>
  <c r="M159" i="1" a="1"/>
  <c r="M159" i="1" s="1"/>
  <c r="M160" i="1" a="1"/>
  <c r="M160" i="1" s="1"/>
  <c r="M161" i="1" a="1"/>
  <c r="M161" i="1" s="1"/>
  <c r="M162" i="1" a="1"/>
  <c r="M162" i="1" s="1"/>
  <c r="M163" i="1" a="1"/>
  <c r="M163" i="1"/>
  <c r="M164" i="1" a="1"/>
  <c r="M164" i="1" s="1"/>
  <c r="M165" i="1" a="1"/>
  <c r="M165" i="1" s="1"/>
  <c r="M166" i="1" a="1"/>
  <c r="M166" i="1"/>
  <c r="M167" i="1" a="1"/>
  <c r="M167" i="1"/>
  <c r="M168" i="1" a="1"/>
  <c r="M168" i="1" s="1"/>
  <c r="M169" i="1" a="1"/>
  <c r="M169" i="1" s="1"/>
  <c r="M170" i="1" a="1"/>
  <c r="M170" i="1" s="1"/>
  <c r="M171" i="1" a="1"/>
  <c r="M171" i="1" s="1"/>
  <c r="M172" i="1" a="1"/>
  <c r="M172" i="1" s="1"/>
  <c r="M173" i="1" a="1"/>
  <c r="M173" i="1" s="1"/>
  <c r="M174" i="1" a="1"/>
  <c r="M174" i="1" s="1"/>
  <c r="M175" i="1" a="1"/>
  <c r="M175" i="1" s="1"/>
  <c r="M176" i="1" a="1"/>
  <c r="M176" i="1"/>
  <c r="M177" i="1" a="1"/>
  <c r="M177" i="1" s="1"/>
  <c r="M178" i="1" a="1"/>
  <c r="M178" i="1"/>
  <c r="M179" i="1" a="1"/>
  <c r="M179" i="1" s="1"/>
  <c r="M180" i="1" a="1"/>
  <c r="M180" i="1" s="1"/>
  <c r="M181" i="1" a="1"/>
  <c r="M181" i="1" s="1"/>
  <c r="M182" i="1" a="1"/>
  <c r="M182" i="1"/>
  <c r="M183" i="1" a="1"/>
  <c r="M183" i="1" s="1"/>
  <c r="M184" i="1" a="1"/>
  <c r="M184" i="1" s="1"/>
  <c r="M185" i="1" a="1"/>
  <c r="M185" i="1" s="1"/>
  <c r="M186" i="1" a="1"/>
  <c r="M186" i="1" s="1"/>
  <c r="M187" i="1" a="1"/>
  <c r="M187" i="1"/>
  <c r="M188" i="1" a="1"/>
  <c r="M188" i="1"/>
  <c r="M189" i="1" a="1"/>
  <c r="M189" i="1" s="1"/>
  <c r="M190" i="1" a="1"/>
  <c r="M190" i="1" s="1"/>
  <c r="M191" i="1" a="1"/>
  <c r="M191" i="1"/>
  <c r="M192" i="1" a="1"/>
  <c r="M192" i="1" s="1"/>
  <c r="M193" i="1" a="1"/>
  <c r="M193" i="1" s="1"/>
  <c r="M194" i="1" a="1"/>
  <c r="M194" i="1"/>
  <c r="M195" i="1" a="1"/>
  <c r="M195" i="1" s="1"/>
  <c r="M196" i="1" a="1"/>
  <c r="M196" i="1"/>
  <c r="M197" i="1" a="1"/>
  <c r="M197" i="1" s="1"/>
  <c r="M198" i="1" a="1"/>
  <c r="M198" i="1" s="1"/>
  <c r="M199" i="1" a="1"/>
  <c r="M199" i="1"/>
  <c r="M200" i="1" a="1"/>
  <c r="M200" i="1"/>
  <c r="M201" i="1" a="1"/>
  <c r="M201" i="1" s="1"/>
  <c r="M202" i="1" a="1"/>
  <c r="M202" i="1" s="1"/>
  <c r="M203" i="1" a="1"/>
  <c r="M203" i="1" s="1"/>
  <c r="M204" i="1" a="1"/>
  <c r="M204" i="1" s="1"/>
  <c r="M205" i="1" a="1"/>
  <c r="M205" i="1" s="1"/>
  <c r="M206" i="1" a="1"/>
  <c r="M206" i="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c r="M221" i="1" a="1"/>
  <c r="M221" i="1" s="1"/>
  <c r="M222" i="1" a="1"/>
  <c r="M222" i="1" s="1"/>
  <c r="M223" i="1" a="1"/>
  <c r="M223" i="1"/>
  <c r="M224" i="1" a="1"/>
  <c r="M224" i="1"/>
  <c r="M225" i="1" a="1"/>
  <c r="M225" i="1" s="1"/>
  <c r="M226" i="1" a="1"/>
  <c r="M226" i="1" s="1"/>
  <c r="M227" i="1" a="1"/>
  <c r="M227" i="1"/>
  <c r="M228" i="1" a="1"/>
  <c r="M228" i="1" s="1"/>
  <c r="M229" i="1" a="1"/>
  <c r="M229" i="1" s="1"/>
  <c r="M230" i="1" a="1"/>
  <c r="M230" i="1"/>
  <c r="M231" i="1" a="1"/>
  <c r="M231" i="1" s="1"/>
  <c r="M232" i="1" a="1"/>
  <c r="M232" i="1"/>
  <c r="M233" i="1" a="1"/>
  <c r="M233" i="1" s="1"/>
  <c r="M234" i="1" a="1"/>
  <c r="M234" i="1" s="1"/>
  <c r="M235" i="1" a="1"/>
  <c r="M235" i="1" s="1"/>
  <c r="M236" i="1" a="1"/>
  <c r="M236" i="1"/>
  <c r="M237" i="1" a="1"/>
  <c r="M237" i="1" s="1"/>
  <c r="M238" i="1" a="1"/>
  <c r="M238" i="1" s="1"/>
  <c r="M239" i="1" a="1"/>
  <c r="M239" i="1" s="1"/>
  <c r="M240" i="1" a="1"/>
  <c r="M240" i="1" s="1"/>
  <c r="M241" i="1" a="1"/>
  <c r="M241" i="1" s="1"/>
  <c r="M242" i="1" a="1"/>
  <c r="M242" i="1"/>
  <c r="M243" i="1" a="1"/>
  <c r="M243" i="1" s="1"/>
  <c r="M244" i="1" a="1"/>
  <c r="M244" i="1" s="1"/>
  <c r="M245" i="1" a="1"/>
  <c r="M245" i="1" s="1"/>
  <c r="M246" i="1" a="1"/>
  <c r="M246" i="1" s="1"/>
  <c r="M247" i="1" a="1"/>
  <c r="M247" i="1"/>
  <c r="M248" i="1" a="1"/>
  <c r="M248" i="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c r="M263" i="1" a="1"/>
  <c r="M263" i="1"/>
  <c r="M264" i="1" a="1"/>
  <c r="M264" i="1" s="1"/>
  <c r="M265" i="1" a="1"/>
  <c r="M265" i="1"/>
  <c r="M266" i="1" a="1"/>
  <c r="M266" i="1" s="1"/>
  <c r="M267" i="1" a="1"/>
  <c r="M267" i="1" s="1"/>
  <c r="M268" i="1" a="1"/>
  <c r="M268" i="1" s="1"/>
  <c r="M269" i="1" a="1"/>
  <c r="M269" i="1" s="1"/>
  <c r="M270" i="1" a="1"/>
  <c r="M270" i="1" s="1"/>
  <c r="M271" i="1" a="1"/>
  <c r="M271" i="1"/>
  <c r="M272" i="1" a="1"/>
  <c r="M272" i="1"/>
  <c r="M273" i="1" a="1"/>
  <c r="M273" i="1" s="1"/>
  <c r="M274" i="1" a="1"/>
  <c r="M274" i="1" s="1"/>
  <c r="M275" i="1" a="1"/>
  <c r="M275" i="1" s="1"/>
  <c r="M276" i="1" a="1"/>
  <c r="M276" i="1" s="1"/>
  <c r="M277" i="1" a="1"/>
  <c r="M277" i="1" s="1"/>
  <c r="M278" i="1" a="1"/>
  <c r="M278" i="1" s="1"/>
  <c r="M279" i="1" a="1"/>
  <c r="M279" i="1" s="1"/>
  <c r="M280" i="1" a="1"/>
  <c r="M280" i="1"/>
  <c r="M281" i="1" a="1"/>
  <c r="M281" i="1" s="1"/>
  <c r="M282" i="1" a="1"/>
  <c r="M282" i="1" s="1"/>
  <c r="M283" i="1" a="1"/>
  <c r="M283" i="1" s="1"/>
  <c r="M284" i="1" a="1"/>
  <c r="M284" i="1" s="1"/>
  <c r="M285" i="1" a="1"/>
  <c r="M285" i="1" s="1"/>
  <c r="M286" i="1" a="1"/>
  <c r="M286" i="1" s="1"/>
  <c r="M287" i="1" a="1"/>
  <c r="M287" i="1" s="1"/>
  <c r="M288" i="1" a="1"/>
  <c r="M288" i="1" s="1"/>
  <c r="M289" i="1" a="1"/>
  <c r="M289" i="1" s="1"/>
  <c r="M290" i="1" a="1"/>
  <c r="M290" i="1"/>
  <c r="M291" i="1" a="1"/>
  <c r="M291" i="1" s="1"/>
  <c r="M292" i="1" a="1"/>
  <c r="M292" i="1" s="1"/>
  <c r="M293" i="1" a="1"/>
  <c r="M293" i="1" s="1"/>
  <c r="M294" i="1" a="1"/>
  <c r="M294" i="1" s="1"/>
  <c r="M295" i="1" a="1"/>
  <c r="M295" i="1" s="1"/>
  <c r="M296" i="1" a="1"/>
  <c r="M296" i="1"/>
  <c r="M297" i="1" a="1"/>
  <c r="M297" i="1" s="1"/>
  <c r="M298" i="1" a="1"/>
  <c r="M298" i="1"/>
  <c r="M299" i="1" a="1"/>
  <c r="M299" i="1" s="1"/>
  <c r="M300" i="1" a="1"/>
  <c r="M300" i="1" s="1"/>
  <c r="M301" i="1" a="1"/>
  <c r="M301" i="1" s="1"/>
  <c r="M302" i="1" a="1"/>
  <c r="M302" i="1"/>
  <c r="M303" i="1" a="1"/>
  <c r="M303" i="1" s="1"/>
  <c r="M304" i="1" a="1"/>
  <c r="M304" i="1" s="1"/>
  <c r="M305" i="1" a="1"/>
  <c r="M305" i="1" s="1"/>
  <c r="M306" i="1" a="1"/>
  <c r="M306" i="1" s="1"/>
  <c r="M307" i="1" a="1"/>
  <c r="M307" i="1" s="1"/>
  <c r="M308" i="1" a="1"/>
  <c r="M308" i="1"/>
  <c r="M309" i="1" a="1"/>
  <c r="M309" i="1" s="1"/>
  <c r="M310" i="1" a="1"/>
  <c r="M310" i="1" s="1"/>
  <c r="M311" i="1" a="1"/>
  <c r="M311" i="1" s="1"/>
  <c r="M312" i="1" a="1"/>
  <c r="M312" i="1" s="1"/>
  <c r="M313" i="1" a="1"/>
  <c r="M313" i="1"/>
  <c r="M314" i="1" a="1"/>
  <c r="M314" i="1" s="1"/>
  <c r="M315" i="1" a="1"/>
  <c r="M315" i="1" s="1"/>
  <c r="M316" i="1" a="1"/>
  <c r="M316" i="1"/>
  <c r="M317" i="1" a="1"/>
  <c r="M317" i="1"/>
  <c r="M318" i="1" a="1"/>
  <c r="M318" i="1" s="1"/>
  <c r="M319" i="1" a="1"/>
  <c r="M319" i="1" s="1"/>
  <c r="M320" i="1" a="1"/>
  <c r="M320" i="1"/>
  <c r="M321" i="1" a="1"/>
  <c r="M321" i="1" s="1"/>
  <c r="M322" i="1" a="1"/>
  <c r="M322" i="1" s="1"/>
  <c r="M323" i="1" a="1"/>
  <c r="M323" i="1" s="1"/>
  <c r="M324" i="1" a="1"/>
  <c r="M324" i="1" s="1"/>
  <c r="M325" i="1" a="1"/>
  <c r="M325" i="1" s="1"/>
  <c r="M326" i="1" a="1"/>
  <c r="M326" i="1"/>
  <c r="M327" i="1" a="1"/>
  <c r="M327" i="1" s="1"/>
  <c r="M328" i="1" a="1"/>
  <c r="M328" i="1" s="1"/>
  <c r="M329" i="1" a="1"/>
  <c r="M329" i="1" s="1"/>
  <c r="M330" i="1" a="1"/>
  <c r="M330" i="1" s="1"/>
  <c r="M331" i="1" a="1"/>
  <c r="M331" i="1" s="1"/>
  <c r="M332" i="1" a="1"/>
  <c r="M332" i="1"/>
  <c r="M333" i="1" a="1"/>
  <c r="M333" i="1" s="1"/>
  <c r="M334" i="1" a="1"/>
  <c r="M334" i="1"/>
  <c r="M335" i="1" a="1"/>
  <c r="M335" i="1"/>
  <c r="M336" i="1" a="1"/>
  <c r="M336" i="1" s="1"/>
  <c r="M337" i="1" a="1"/>
  <c r="M337" i="1" s="1"/>
  <c r="M338" i="1" a="1"/>
  <c r="M338" i="1" s="1"/>
  <c r="M339" i="1" a="1"/>
  <c r="M339" i="1" s="1"/>
  <c r="M340" i="1" a="1"/>
  <c r="M340" i="1" s="1"/>
  <c r="M341" i="1" a="1"/>
  <c r="M341" i="1" s="1"/>
  <c r="M342" i="1" a="1"/>
  <c r="M342" i="1" s="1"/>
  <c r="M343" i="1" a="1"/>
  <c r="M343" i="1"/>
  <c r="M344" i="1" a="1"/>
  <c r="M344" i="1"/>
  <c r="M345" i="1" a="1"/>
  <c r="M345" i="1" s="1"/>
  <c r="M346" i="1" a="1"/>
  <c r="M346" i="1" s="1"/>
  <c r="M347" i="1" a="1"/>
  <c r="M347" i="1" s="1"/>
  <c r="M348" i="1" a="1"/>
  <c r="M348" i="1" s="1"/>
  <c r="M349" i="1" a="1"/>
  <c r="M349" i="1" s="1"/>
  <c r="M350" i="1" a="1"/>
  <c r="M350" i="1" s="1"/>
  <c r="M351" i="1" a="1"/>
  <c r="M351" i="1" s="1"/>
  <c r="M352" i="1" a="1"/>
  <c r="M352" i="1" s="1"/>
  <c r="M353" i="1" a="1"/>
  <c r="M353" i="1" s="1"/>
  <c r="M354" i="1" a="1"/>
  <c r="M354" i="1" s="1"/>
  <c r="M355" i="1" a="1"/>
  <c r="M355" i="1"/>
  <c r="M356" i="1" a="1"/>
  <c r="M356" i="1" s="1"/>
  <c r="M357" i="1" a="1"/>
  <c r="M357" i="1" s="1"/>
  <c r="M358" i="1" a="1"/>
  <c r="M358" i="1" s="1"/>
  <c r="M359" i="1" a="1"/>
  <c r="M359" i="1"/>
  <c r="M360" i="1" a="1"/>
  <c r="M360" i="1" s="1"/>
  <c r="M361" i="1" a="1"/>
  <c r="M361" i="1" s="1"/>
  <c r="M362" i="1" a="1"/>
  <c r="M362" i="1"/>
  <c r="M363" i="1" a="1"/>
  <c r="M363" i="1" s="1"/>
  <c r="M364" i="1" a="1"/>
  <c r="M364" i="1" s="1"/>
  <c r="M365" i="1" a="1"/>
  <c r="M365" i="1" s="1"/>
  <c r="M366" i="1" a="1"/>
  <c r="M366" i="1" s="1"/>
  <c r="M367" i="1" a="1"/>
  <c r="M367" i="1" s="1"/>
  <c r="M368" i="1" a="1"/>
  <c r="M368" i="1"/>
  <c r="M369" i="1" a="1"/>
  <c r="M369" i="1" s="1"/>
  <c r="M370" i="1" a="1"/>
  <c r="M370" i="1"/>
  <c r="M371" i="1" a="1"/>
  <c r="M371" i="1"/>
  <c r="M372" i="1" a="1"/>
  <c r="M372" i="1" s="1"/>
  <c r="M373" i="1" a="1"/>
  <c r="M373" i="1" s="1"/>
  <c r="M374" i="1" a="1"/>
  <c r="M374" i="1" s="1"/>
  <c r="M375" i="1" a="1"/>
  <c r="M375" i="1" s="1"/>
  <c r="M376" i="1" a="1"/>
  <c r="M376" i="1" s="1"/>
  <c r="M377" i="1" a="1"/>
  <c r="M377" i="1" s="1"/>
  <c r="M378" i="1" a="1"/>
  <c r="M378" i="1" s="1"/>
  <c r="M379" i="1" a="1"/>
  <c r="M379" i="1"/>
  <c r="M380" i="1" a="1"/>
  <c r="M380" i="1" s="1"/>
  <c r="M381" i="1" a="1"/>
  <c r="M381" i="1" s="1"/>
  <c r="M382" i="1" a="1"/>
  <c r="M382" i="1" s="1"/>
  <c r="M383" i="1" a="1"/>
  <c r="M383" i="1" s="1"/>
  <c r="M384" i="1" a="1"/>
  <c r="M384" i="1" s="1"/>
  <c r="M385" i="1" a="1"/>
  <c r="M385" i="1" s="1"/>
  <c r="M386" i="1" a="1"/>
  <c r="M386" i="1" s="1"/>
  <c r="M387" i="1" a="1"/>
  <c r="M387" i="1" s="1"/>
  <c r="M388" i="1" a="1"/>
  <c r="M388" i="1"/>
  <c r="M389" i="1" a="1"/>
  <c r="M389" i="1"/>
  <c r="M390" i="1" a="1"/>
  <c r="M390" i="1" s="1"/>
  <c r="M391" i="1" a="1"/>
  <c r="M391" i="1"/>
  <c r="M392" i="1" a="1"/>
  <c r="M392" i="1" s="1"/>
  <c r="M393" i="1" a="1"/>
  <c r="M393" i="1" s="1"/>
  <c r="M394" i="1" a="1"/>
  <c r="M394" i="1" s="1"/>
  <c r="M395" i="1" a="1"/>
  <c r="M395" i="1" s="1"/>
  <c r="M396" i="1" a="1"/>
  <c r="M396" i="1" s="1"/>
  <c r="M397" i="1" a="1"/>
  <c r="M397" i="1"/>
  <c r="M398" i="1" a="1"/>
  <c r="M398" i="1"/>
  <c r="M399" i="1" a="1"/>
  <c r="M399" i="1" s="1"/>
  <c r="M400" i="1" a="1"/>
  <c r="M400" i="1" s="1"/>
  <c r="M401" i="1" a="1"/>
  <c r="M401" i="1" s="1"/>
  <c r="M402" i="1" a="1"/>
  <c r="M402" i="1" s="1"/>
  <c r="M403" i="1" a="1"/>
  <c r="M403" i="1" s="1"/>
  <c r="M404" i="1" a="1"/>
  <c r="M404" i="1" s="1"/>
  <c r="M405" i="1" a="1"/>
  <c r="M405" i="1" s="1"/>
  <c r="M406" i="1" a="1"/>
  <c r="M406" i="1"/>
  <c r="M407" i="1" a="1"/>
  <c r="M407" i="1" s="1"/>
  <c r="M408" i="1" a="1"/>
  <c r="M408" i="1" s="1"/>
  <c r="M409" i="1" a="1"/>
  <c r="M409" i="1"/>
  <c r="M410" i="1" a="1"/>
  <c r="M410" i="1"/>
  <c r="M411" i="1" a="1"/>
  <c r="M411" i="1" s="1"/>
  <c r="M412" i="1" a="1"/>
  <c r="M412" i="1" s="1"/>
  <c r="M413" i="1" a="1"/>
  <c r="M413" i="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c r="M425" i="1" a="1"/>
  <c r="M425" i="1"/>
  <c r="M426" i="1" a="1"/>
  <c r="M426" i="1" s="1"/>
  <c r="M427" i="1" a="1"/>
  <c r="M427" i="1"/>
  <c r="M428" i="1" a="1"/>
  <c r="M428" i="1" s="1"/>
  <c r="M429" i="1" a="1"/>
  <c r="M429" i="1" s="1"/>
  <c r="M430" i="1" a="1"/>
  <c r="M430" i="1" s="1"/>
  <c r="M431" i="1" a="1"/>
  <c r="M431" i="1" s="1"/>
  <c r="M432" i="1" a="1"/>
  <c r="M432" i="1" s="1"/>
  <c r="M433" i="1" a="1"/>
  <c r="M433" i="1" s="1"/>
  <c r="M434" i="1" a="1"/>
  <c r="M434" i="1" s="1"/>
  <c r="M435" i="1" a="1"/>
  <c r="M435" i="1" s="1"/>
  <c r="M436" i="1" a="1"/>
  <c r="M436" i="1"/>
  <c r="M437" i="1" a="1"/>
  <c r="M437" i="1" s="1"/>
  <c r="M438" i="1" a="1"/>
  <c r="M438" i="1" s="1"/>
  <c r="M439" i="1" a="1"/>
  <c r="M439" i="1" s="1"/>
  <c r="M440" i="1" a="1"/>
  <c r="M440" i="1" s="1"/>
  <c r="M441" i="1" a="1"/>
  <c r="M441" i="1" s="1"/>
  <c r="M442" i="1" a="1"/>
  <c r="M442" i="1" s="1"/>
  <c r="M443" i="1" a="1"/>
  <c r="M443" i="1" s="1"/>
  <c r="M444" i="1" a="1"/>
  <c r="M444" i="1" s="1"/>
  <c r="M445" i="1" a="1"/>
  <c r="M445" i="1"/>
  <c r="M446" i="1" a="1"/>
  <c r="M446" i="1" s="1"/>
  <c r="M447" i="1" a="1"/>
  <c r="M447" i="1" s="1"/>
  <c r="M448" i="1" a="1"/>
  <c r="M448" i="1" s="1"/>
  <c r="M449" i="1" a="1"/>
  <c r="M449" i="1" s="1"/>
  <c r="M450" i="1" a="1"/>
  <c r="M450" i="1" s="1"/>
  <c r="M451" i="1" a="1"/>
  <c r="M451" i="1" s="1"/>
  <c r="M452" i="1" a="1"/>
  <c r="M452" i="1" s="1"/>
  <c r="M453" i="1" a="1"/>
  <c r="M453" i="1" s="1"/>
  <c r="M454" i="1" a="1"/>
  <c r="M454" i="1"/>
  <c r="M455" i="1" a="1"/>
  <c r="M455" i="1" s="1"/>
  <c r="M456" i="1" a="1"/>
  <c r="M456" i="1" s="1"/>
  <c r="M457" i="1" a="1"/>
  <c r="M457" i="1" s="1"/>
  <c r="M458" i="1" a="1"/>
  <c r="M458" i="1" s="1"/>
  <c r="M459" i="1" a="1"/>
  <c r="M459" i="1" s="1"/>
  <c r="M460" i="1" a="1"/>
  <c r="M460" i="1" s="1"/>
  <c r="M461" i="1" a="1"/>
  <c r="M461" i="1" s="1"/>
  <c r="M462" i="1" a="1"/>
  <c r="M462" i="1" s="1"/>
  <c r="M463" i="1" a="1"/>
  <c r="M463" i="1"/>
  <c r="M464" i="1" a="1"/>
  <c r="M464" i="1" s="1"/>
  <c r="M465" i="1" a="1"/>
  <c r="M465" i="1" s="1"/>
  <c r="M466" i="1" a="1"/>
  <c r="M466" i="1" s="1"/>
  <c r="M467" i="1" a="1"/>
  <c r="M467" i="1" s="1"/>
  <c r="M468" i="1" a="1"/>
  <c r="M468" i="1" s="1"/>
  <c r="M469" i="1" a="1"/>
  <c r="M469" i="1" s="1"/>
  <c r="M470" i="1" a="1"/>
  <c r="M470" i="1" s="1"/>
  <c r="M471" i="1" a="1"/>
  <c r="M471" i="1" s="1"/>
  <c r="M472" i="1" a="1"/>
  <c r="M472" i="1"/>
  <c r="M473" i="1" a="1"/>
  <c r="M473" i="1" s="1"/>
  <c r="M474" i="1" a="1"/>
  <c r="M474" i="1" s="1"/>
  <c r="M475" i="1" a="1"/>
  <c r="M475" i="1" s="1"/>
  <c r="M476" i="1" a="1"/>
  <c r="M476" i="1" s="1"/>
  <c r="M477" i="1" a="1"/>
  <c r="M477" i="1" s="1"/>
  <c r="M478" i="1" a="1"/>
  <c r="M478" i="1" s="1"/>
  <c r="M479" i="1" a="1"/>
  <c r="M479" i="1" s="1"/>
  <c r="M480" i="1" a="1"/>
  <c r="M480" i="1" s="1"/>
  <c r="M481" i="1" a="1"/>
  <c r="M481" i="1"/>
  <c r="M482" i="1" a="1"/>
  <c r="M482" i="1" s="1"/>
  <c r="M483" i="1" a="1"/>
  <c r="M483" i="1" s="1"/>
  <c r="M484" i="1" a="1"/>
  <c r="M484" i="1" s="1"/>
  <c r="M485" i="1" a="1"/>
  <c r="M485" i="1" s="1"/>
  <c r="M486" i="1" a="1"/>
  <c r="M486" i="1" s="1"/>
  <c r="M487" i="1" a="1"/>
  <c r="M487" i="1" s="1"/>
  <c r="M488" i="1" a="1"/>
  <c r="M488" i="1" s="1"/>
  <c r="M489" i="1" a="1"/>
  <c r="M489" i="1" s="1"/>
  <c r="M490" i="1" a="1"/>
  <c r="M490" i="1"/>
  <c r="M491" i="1" a="1"/>
  <c r="M491" i="1" s="1"/>
  <c r="M492" i="1" a="1"/>
  <c r="M492" i="1" s="1"/>
  <c r="M493" i="1" a="1"/>
  <c r="M493" i="1" s="1"/>
  <c r="M494" i="1" a="1"/>
  <c r="M494" i="1" s="1"/>
  <c r="M495" i="1" a="1"/>
  <c r="M495" i="1" s="1"/>
  <c r="M496" i="1" a="1"/>
  <c r="M496" i="1" s="1"/>
  <c r="M497" i="1" a="1"/>
  <c r="M497" i="1" s="1"/>
  <c r="M498" i="1" a="1"/>
  <c r="M498" i="1" s="1"/>
  <c r="M499" i="1" a="1"/>
  <c r="M499" i="1"/>
  <c r="M500" i="1" a="1"/>
  <c r="M500" i="1" s="1"/>
  <c r="M501" i="1" a="1"/>
  <c r="M501" i="1" s="1"/>
  <c r="M502" i="1" a="1"/>
  <c r="M502" i="1" s="1"/>
  <c r="M503" i="1" a="1"/>
  <c r="M503" i="1" s="1"/>
  <c r="M504" i="1" a="1"/>
  <c r="M504" i="1" s="1"/>
  <c r="M505" i="1" a="1"/>
  <c r="M505" i="1" s="1"/>
  <c r="M506" i="1" a="1"/>
  <c r="M506" i="1" s="1"/>
  <c r="M507" i="1" a="1"/>
  <c r="M507" i="1" s="1"/>
  <c r="M508" i="1" a="1"/>
  <c r="M508" i="1"/>
  <c r="M509" i="1" a="1"/>
  <c r="M509" i="1" s="1"/>
  <c r="M510" i="1" a="1"/>
  <c r="M510" i="1" s="1"/>
  <c r="M511" i="1" a="1"/>
  <c r="M511" i="1" s="1"/>
  <c r="M512" i="1" a="1"/>
  <c r="M512" i="1" s="1"/>
  <c r="M513" i="1" a="1"/>
  <c r="M513" i="1" s="1"/>
  <c r="M514" i="1" a="1"/>
  <c r="M514" i="1" s="1"/>
  <c r="M515" i="1" a="1"/>
  <c r="M515" i="1" s="1"/>
  <c r="M516" i="1" a="1"/>
  <c r="M516" i="1" s="1"/>
  <c r="M517" i="1" a="1"/>
  <c r="M517" i="1"/>
  <c r="M518" i="1" a="1"/>
  <c r="M518" i="1" s="1"/>
  <c r="M519" i="1" a="1"/>
  <c r="M519" i="1" s="1"/>
  <c r="M520" i="1" a="1"/>
  <c r="M520" i="1" s="1"/>
  <c r="M521" i="1" a="1"/>
  <c r="M521" i="1" s="1"/>
  <c r="M522" i="1" a="1"/>
  <c r="M522" i="1" s="1"/>
  <c r="M523" i="1" a="1"/>
  <c r="M523" i="1" s="1"/>
  <c r="M524" i="1" a="1"/>
  <c r="M524" i="1" s="1"/>
  <c r="M525" i="1" a="1"/>
  <c r="M525" i="1" s="1"/>
  <c r="M526" i="1" a="1"/>
  <c r="M526" i="1"/>
  <c r="M527" i="1" a="1"/>
  <c r="M527" i="1" s="1"/>
  <c r="M528" i="1" a="1"/>
  <c r="M528" i="1" s="1"/>
  <c r="M529" i="1" a="1"/>
  <c r="M529" i="1" s="1"/>
  <c r="M530" i="1" a="1"/>
  <c r="M530" i="1" s="1"/>
  <c r="M531" i="1" a="1"/>
  <c r="M531" i="1" s="1"/>
  <c r="M532" i="1" a="1"/>
  <c r="M532" i="1" s="1"/>
  <c r="M533" i="1" a="1"/>
  <c r="M533" i="1"/>
  <c r="M534" i="1" a="1"/>
  <c r="M534" i="1"/>
  <c r="M535" i="1" a="1"/>
  <c r="M535" i="1" s="1"/>
  <c r="M536" i="1" a="1"/>
  <c r="M536" i="1" s="1"/>
  <c r="M537" i="1" a="1"/>
  <c r="M537" i="1" s="1"/>
  <c r="M538" i="1" a="1"/>
  <c r="M538" i="1" s="1"/>
  <c r="M539" i="1" a="1"/>
  <c r="M539" i="1" s="1"/>
  <c r="M540" i="1" a="1"/>
  <c r="M540" i="1"/>
  <c r="M541" i="1" a="1"/>
  <c r="M541" i="1" s="1"/>
  <c r="M542" i="1" a="1"/>
  <c r="M542" i="1"/>
  <c r="M543" i="1" a="1"/>
  <c r="M543" i="1"/>
  <c r="M544" i="1" a="1"/>
  <c r="M544" i="1" s="1"/>
  <c r="M545" i="1" a="1"/>
  <c r="M545" i="1" s="1"/>
  <c r="M546" i="1" a="1"/>
  <c r="M546" i="1" s="1"/>
  <c r="M547" i="1" a="1"/>
  <c r="M547" i="1" s="1"/>
  <c r="M548" i="1" a="1"/>
  <c r="M548" i="1"/>
  <c r="M549" i="1" a="1"/>
  <c r="M549" i="1" s="1"/>
  <c r="M550" i="1" a="1"/>
  <c r="M550" i="1" s="1"/>
  <c r="M551" i="1" a="1"/>
  <c r="M551" i="1"/>
  <c r="M552" i="1" a="1"/>
  <c r="M552" i="1"/>
  <c r="M553" i="1" a="1"/>
  <c r="M553" i="1" s="1"/>
  <c r="M554" i="1" a="1"/>
  <c r="M554" i="1" s="1"/>
  <c r="M555" i="1" a="1"/>
  <c r="M555" i="1" s="1"/>
  <c r="M556" i="1" a="1"/>
  <c r="M556" i="1" s="1"/>
  <c r="M557" i="1" a="1"/>
  <c r="M557" i="1" s="1"/>
  <c r="M558" i="1" a="1"/>
  <c r="M558" i="1" s="1"/>
  <c r="M559" i="1" a="1"/>
  <c r="M559" i="1" s="1"/>
  <c r="M560" i="1" a="1"/>
  <c r="M560" i="1" s="1"/>
  <c r="M561" i="1" a="1"/>
  <c r="M561" i="1"/>
  <c r="M562" i="1" a="1"/>
  <c r="M562" i="1" s="1"/>
  <c r="M563" i="1" a="1"/>
  <c r="M563" i="1"/>
  <c r="M564" i="1" a="1"/>
  <c r="M564" i="1" s="1"/>
  <c r="M565" i="1" a="1"/>
  <c r="M565" i="1" s="1"/>
  <c r="M566" i="1" a="1"/>
  <c r="M566" i="1" s="1"/>
  <c r="M567" i="1" a="1"/>
  <c r="M567" i="1" s="1"/>
  <c r="M568" i="1" a="1"/>
  <c r="M568" i="1" s="1"/>
  <c r="M569" i="1" a="1"/>
  <c r="M569" i="1"/>
  <c r="M570" i="1" a="1"/>
  <c r="M570" i="1"/>
  <c r="M571" i="1" a="1"/>
  <c r="M571" i="1" s="1"/>
  <c r="M572" i="1" a="1"/>
  <c r="M572" i="1" s="1"/>
  <c r="M573" i="1" a="1"/>
  <c r="M573" i="1" s="1"/>
  <c r="M574" i="1" a="1"/>
  <c r="M574" i="1" s="1"/>
  <c r="M575" i="1" a="1"/>
  <c r="M575" i="1" s="1"/>
  <c r="M576" i="1" a="1"/>
  <c r="M576" i="1" s="1"/>
  <c r="M577" i="1" a="1"/>
  <c r="M577" i="1" s="1"/>
  <c r="M578" i="1" a="1"/>
  <c r="M578" i="1"/>
  <c r="M579" i="1" a="1"/>
  <c r="M579" i="1"/>
  <c r="M580" i="1" a="1"/>
  <c r="M580" i="1" s="1"/>
  <c r="M581" i="1" a="1"/>
  <c r="M581" i="1" s="1"/>
  <c r="M582" i="1" a="1"/>
  <c r="M582" i="1" s="1"/>
  <c r="M583" i="1" a="1"/>
  <c r="M583" i="1" s="1"/>
  <c r="M584" i="1" a="1"/>
  <c r="M584" i="1" s="1"/>
  <c r="M585" i="1" a="1"/>
  <c r="M585" i="1" s="1"/>
  <c r="M586" i="1" a="1"/>
  <c r="M586" i="1" s="1"/>
  <c r="M587" i="1" a="1"/>
  <c r="M587" i="1"/>
  <c r="M588" i="1" a="1"/>
  <c r="M588" i="1"/>
  <c r="M589" i="1" a="1"/>
  <c r="M589" i="1" s="1"/>
  <c r="M590" i="1" a="1"/>
  <c r="M590" i="1" s="1"/>
  <c r="M591" i="1" a="1"/>
  <c r="M591" i="1" s="1"/>
  <c r="M592" i="1" a="1"/>
  <c r="M592" i="1" s="1"/>
  <c r="M593" i="1" a="1"/>
  <c r="M593" i="1" s="1"/>
  <c r="M594" i="1" a="1"/>
  <c r="M594" i="1" s="1"/>
  <c r="M595" i="1" a="1"/>
  <c r="M595" i="1" s="1"/>
  <c r="M596" i="1" a="1"/>
  <c r="M596" i="1"/>
  <c r="M597" i="1" a="1"/>
  <c r="M597" i="1"/>
  <c r="M598" i="1" a="1"/>
  <c r="M598" i="1" s="1"/>
  <c r="M599" i="1" a="1"/>
  <c r="M599" i="1" s="1"/>
  <c r="M600" i="1" a="1"/>
  <c r="M600" i="1" s="1"/>
  <c r="M601" i="1" a="1"/>
  <c r="M601" i="1" s="1"/>
  <c r="M602" i="1" a="1"/>
  <c r="M602" i="1"/>
  <c r="M603" i="1" a="1"/>
  <c r="M603" i="1" s="1"/>
  <c r="M604" i="1" a="1"/>
  <c r="M604" i="1" s="1"/>
  <c r="M605" i="1" a="1"/>
  <c r="M605" i="1"/>
  <c r="M606" i="1" a="1"/>
  <c r="M606" i="1"/>
  <c r="M607" i="1" a="1"/>
  <c r="M607" i="1" s="1"/>
  <c r="M608" i="1" a="1"/>
  <c r="M608" i="1" s="1"/>
  <c r="M609" i="1" a="1"/>
  <c r="M609" i="1" s="1"/>
  <c r="M610" i="1" a="1"/>
  <c r="M610" i="1" s="1"/>
  <c r="M611" i="1" a="1"/>
  <c r="M611" i="1" s="1"/>
  <c r="M612" i="1" a="1"/>
  <c r="M612" i="1" s="1"/>
  <c r="M613" i="1" a="1"/>
  <c r="M613" i="1" s="1"/>
  <c r="M614" i="1" a="1"/>
  <c r="M614" i="1" s="1"/>
  <c r="M615" i="1" a="1"/>
  <c r="M615" i="1"/>
  <c r="M616" i="1" a="1"/>
  <c r="M616" i="1" s="1"/>
  <c r="M617" i="1" a="1"/>
  <c r="M617" i="1"/>
  <c r="M618" i="1" a="1"/>
  <c r="M618" i="1" s="1"/>
  <c r="M619" i="1" a="1"/>
  <c r="M619" i="1" s="1"/>
  <c r="M620" i="1" a="1"/>
  <c r="M620" i="1" s="1"/>
  <c r="M621" i="1" a="1"/>
  <c r="M621" i="1" s="1"/>
  <c r="M622" i="1" a="1"/>
  <c r="M622" i="1" s="1"/>
  <c r="M623" i="1" a="1"/>
  <c r="M623" i="1"/>
  <c r="M624" i="1" a="1"/>
  <c r="M624" i="1"/>
  <c r="M625" i="1" a="1"/>
  <c r="M625" i="1" s="1"/>
  <c r="M626" i="1" a="1"/>
  <c r="M626" i="1" s="1"/>
  <c r="M627" i="1" a="1"/>
  <c r="M627" i="1" s="1"/>
  <c r="M628" i="1" a="1"/>
  <c r="M628" i="1" s="1"/>
  <c r="M629" i="1" a="1"/>
  <c r="M629" i="1" s="1"/>
  <c r="M630" i="1" a="1"/>
  <c r="M630" i="1"/>
  <c r="M631" i="1" a="1"/>
  <c r="M631" i="1" s="1"/>
  <c r="M632" i="1" a="1"/>
  <c r="M632" i="1"/>
  <c r="M633" i="1" a="1"/>
  <c r="M633" i="1" s="1"/>
  <c r="M634" i="1" a="1"/>
  <c r="M634" i="1" s="1"/>
  <c r="M635" i="1" a="1"/>
  <c r="M635" i="1"/>
  <c r="M636" i="1" a="1"/>
  <c r="M636" i="1" s="1"/>
  <c r="M637" i="1" a="1"/>
  <c r="M637" i="1" s="1"/>
  <c r="M638" i="1" a="1"/>
  <c r="M638" i="1"/>
  <c r="M639" i="1" a="1"/>
  <c r="M639" i="1"/>
  <c r="M640" i="1" a="1"/>
  <c r="M640" i="1" s="1"/>
  <c r="M641" i="1" a="1"/>
  <c r="M641" i="1" s="1"/>
  <c r="M642" i="1" a="1"/>
  <c r="M642" i="1" s="1"/>
  <c r="M643" i="1" a="1"/>
  <c r="M643" i="1" s="1"/>
  <c r="M644" i="1" a="1"/>
  <c r="M644" i="1" s="1"/>
  <c r="M645" i="1" a="1"/>
  <c r="M645" i="1"/>
  <c r="M646" i="1" a="1"/>
  <c r="M646" i="1" s="1"/>
  <c r="M647" i="1" a="1"/>
  <c r="M647" i="1" s="1"/>
  <c r="M648" i="1" a="1"/>
  <c r="M648" i="1" s="1"/>
  <c r="M649" i="1" a="1"/>
  <c r="M649" i="1" s="1"/>
  <c r="M650" i="1" a="1"/>
  <c r="M650" i="1" s="1"/>
  <c r="M651" i="1" a="1"/>
  <c r="M651" i="1"/>
  <c r="M652" i="1" a="1"/>
  <c r="M652" i="1" s="1"/>
  <c r="M653" i="1" a="1"/>
  <c r="M653" i="1" s="1"/>
  <c r="M654" i="1" a="1"/>
  <c r="M654" i="1" s="1"/>
  <c r="M655" i="1" a="1"/>
  <c r="M655" i="1" s="1"/>
  <c r="M656" i="1" a="1"/>
  <c r="M656" i="1" s="1"/>
  <c r="M657" i="1" a="1"/>
  <c r="M657" i="1" s="1"/>
  <c r="M658" i="1" a="1"/>
  <c r="M658" i="1" s="1"/>
  <c r="M659" i="1" a="1"/>
  <c r="M659" i="1"/>
  <c r="M660" i="1" a="1"/>
  <c r="M660" i="1" s="1"/>
  <c r="M661" i="1" a="1"/>
  <c r="M661" i="1" s="1"/>
  <c r="M662" i="1" a="1"/>
  <c r="M662" i="1"/>
  <c r="M663" i="1" a="1"/>
  <c r="M663" i="1"/>
  <c r="M664" i="1" a="1"/>
  <c r="M664" i="1" s="1"/>
  <c r="M665" i="1" a="1"/>
  <c r="M665" i="1" s="1"/>
  <c r="M666" i="1" a="1"/>
  <c r="M666" i="1"/>
  <c r="M667" i="1" a="1"/>
  <c r="M667" i="1" s="1"/>
  <c r="M668" i="1" a="1"/>
  <c r="M668" i="1" s="1"/>
  <c r="M669" i="1" a="1"/>
  <c r="M669" i="1" s="1"/>
  <c r="M670" i="1" a="1"/>
  <c r="M670" i="1" s="1"/>
  <c r="M671" i="1" a="1"/>
  <c r="M671" i="1" s="1"/>
  <c r="M672" i="1" a="1"/>
  <c r="M672" i="1" s="1"/>
  <c r="M673" i="1" a="1"/>
  <c r="M673" i="1" s="1"/>
  <c r="M674" i="1" a="1"/>
  <c r="M674" i="1" s="1"/>
  <c r="M675" i="1" a="1"/>
  <c r="M675" i="1"/>
  <c r="M676" i="1" a="1"/>
  <c r="M676" i="1" s="1"/>
  <c r="M677" i="1" a="1"/>
  <c r="M677" i="1" s="1"/>
  <c r="M678" i="1" a="1"/>
  <c r="M678" i="1"/>
  <c r="M679" i="1" a="1"/>
  <c r="M679" i="1" s="1"/>
  <c r="M680" i="1" a="1"/>
  <c r="M680" i="1"/>
  <c r="M681" i="1" a="1"/>
  <c r="M681" i="1" s="1"/>
  <c r="M682" i="1" a="1"/>
  <c r="M682" i="1" s="1"/>
  <c r="M683" i="1" a="1"/>
  <c r="M683" i="1" s="1"/>
  <c r="M684" i="1" a="1"/>
  <c r="M684" i="1" s="1"/>
  <c r="M685" i="1" a="1"/>
  <c r="M685" i="1" s="1"/>
  <c r="M686" i="1" a="1"/>
  <c r="M686" i="1"/>
  <c r="M687" i="1" a="1"/>
  <c r="M687" i="1" s="1"/>
  <c r="M688" i="1" a="1"/>
  <c r="M688" i="1" s="1"/>
  <c r="M689" i="1" a="1"/>
  <c r="M689" i="1" s="1"/>
  <c r="M690" i="1" a="1"/>
  <c r="M690" i="1" s="1"/>
  <c r="M691" i="1" a="1"/>
  <c r="M691" i="1" s="1"/>
  <c r="M692" i="1" a="1"/>
  <c r="M692" i="1" s="1"/>
  <c r="M693" i="1" a="1"/>
  <c r="M693" i="1" s="1"/>
  <c r="M694" i="1" a="1"/>
  <c r="M694" i="1" s="1"/>
  <c r="M695" i="1" a="1"/>
  <c r="M695" i="1" s="1"/>
  <c r="M696" i="1" a="1"/>
  <c r="M696" i="1" s="1"/>
  <c r="M697" i="1" a="1"/>
  <c r="M697" i="1" s="1"/>
  <c r="M698" i="1" a="1"/>
  <c r="M698" i="1"/>
  <c r="M699" i="1" a="1"/>
  <c r="M699" i="1" s="1"/>
  <c r="M700" i="1" a="1"/>
  <c r="M700" i="1" s="1"/>
  <c r="M701" i="1" a="1"/>
  <c r="M701" i="1" s="1"/>
  <c r="M702" i="1" a="1"/>
  <c r="M702" i="1" s="1"/>
  <c r="M703" i="1" a="1"/>
  <c r="M703" i="1" s="1"/>
  <c r="M704" i="1" a="1"/>
  <c r="M704" i="1" s="1"/>
  <c r="M705" i="1" a="1"/>
  <c r="M705" i="1"/>
  <c r="M706" i="1" a="1"/>
  <c r="M706" i="1" s="1"/>
  <c r="M707" i="1" a="1"/>
  <c r="M707" i="1" s="1"/>
  <c r="M708" i="1" a="1"/>
  <c r="M708" i="1" s="1"/>
  <c r="M709" i="1" a="1"/>
  <c r="M709" i="1" s="1"/>
  <c r="M710" i="1" a="1"/>
  <c r="M710" i="1"/>
  <c r="M711" i="1" a="1"/>
  <c r="M711" i="1" s="1"/>
  <c r="M712" i="1" a="1"/>
  <c r="M712" i="1" s="1"/>
  <c r="M713" i="1" a="1"/>
  <c r="M713" i="1"/>
  <c r="M714" i="1" a="1"/>
  <c r="M714" i="1" s="1"/>
  <c r="M715" i="1" a="1"/>
  <c r="M715" i="1" s="1"/>
  <c r="M716" i="1" a="1"/>
  <c r="M716" i="1"/>
  <c r="M717" i="1" a="1"/>
  <c r="M717" i="1" s="1"/>
  <c r="M718" i="1" a="1"/>
  <c r="M718" i="1" s="1"/>
  <c r="M719" i="1" a="1"/>
  <c r="M719" i="1" s="1"/>
  <c r="M720" i="1" a="1"/>
  <c r="M720" i="1" s="1"/>
  <c r="M721" i="1" a="1"/>
  <c r="M721" i="1" s="1"/>
  <c r="M722" i="1" a="1"/>
  <c r="M722" i="1" s="1"/>
  <c r="M723" i="1" a="1"/>
  <c r="M723" i="1" s="1"/>
  <c r="M724" i="1" a="1"/>
  <c r="M724" i="1" s="1"/>
  <c r="M725" i="1" a="1"/>
  <c r="M725" i="1" s="1"/>
  <c r="M726" i="1" a="1"/>
  <c r="M726" i="1" s="1"/>
  <c r="M727" i="1" a="1"/>
  <c r="M727" i="1" s="1"/>
  <c r="M728" i="1" a="1"/>
  <c r="M728" i="1" s="1"/>
  <c r="M729" i="1" a="1"/>
  <c r="M729" i="1"/>
  <c r="M730" i="1" a="1"/>
  <c r="M730" i="1" s="1"/>
  <c r="M731" i="1" a="1"/>
  <c r="M731" i="1" s="1"/>
  <c r="M732" i="1" a="1"/>
  <c r="M732" i="1"/>
  <c r="M733" i="1" a="1"/>
  <c r="M733" i="1" s="1"/>
  <c r="M734" i="1" a="1"/>
  <c r="M734" i="1" s="1"/>
  <c r="M735" i="1" a="1"/>
  <c r="M735" i="1" s="1"/>
  <c r="M736" i="1" a="1"/>
  <c r="M736" i="1" s="1"/>
  <c r="M737" i="1" a="1"/>
  <c r="M737" i="1" s="1"/>
  <c r="M738" i="1" a="1"/>
  <c r="M738" i="1" s="1"/>
  <c r="M739" i="1" a="1"/>
  <c r="M739" i="1" s="1"/>
  <c r="M740" i="1" a="1"/>
  <c r="M740" i="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c r="M760" i="1" a="1"/>
  <c r="M760" i="1" s="1"/>
  <c r="M761" i="1" a="1"/>
  <c r="M761" i="1" s="1"/>
  <c r="M762" i="1" a="1"/>
  <c r="M762" i="1" s="1"/>
  <c r="M763" i="1" a="1"/>
  <c r="M763" i="1" s="1"/>
  <c r="M764" i="1" a="1"/>
  <c r="M764" i="1" s="1"/>
  <c r="M765" i="1" a="1"/>
  <c r="M765" i="1" s="1"/>
  <c r="M766" i="1" a="1"/>
  <c r="M766" i="1" s="1"/>
  <c r="M767" i="1" a="1"/>
  <c r="M767" i="1"/>
  <c r="M768" i="1" a="1"/>
  <c r="M768" i="1" s="1"/>
  <c r="M769" i="1" a="1"/>
  <c r="M769" i="1" s="1"/>
  <c r="M770" i="1" a="1"/>
  <c r="M770" i="1"/>
  <c r="M771" i="1" a="1"/>
  <c r="M771" i="1"/>
  <c r="M772" i="1" a="1"/>
  <c r="M772" i="1" s="1"/>
  <c r="M773" i="1" a="1"/>
  <c r="M773" i="1" s="1"/>
  <c r="M774" i="1" a="1"/>
  <c r="M774" i="1" s="1"/>
  <c r="M775" i="1" a="1"/>
  <c r="M775" i="1" s="1"/>
  <c r="M776" i="1" a="1"/>
  <c r="M776" i="1" s="1"/>
  <c r="M777" i="1" a="1"/>
  <c r="M777" i="1" s="1"/>
  <c r="M778" i="1" a="1"/>
  <c r="M778" i="1" s="1"/>
  <c r="M779" i="1" a="1"/>
  <c r="M779" i="1"/>
  <c r="M780" i="1" a="1"/>
  <c r="M780" i="1" s="1"/>
  <c r="M781" i="1" a="1"/>
  <c r="M781" i="1" s="1"/>
  <c r="M782" i="1" a="1"/>
  <c r="M782" i="1"/>
  <c r="M783" i="1" a="1"/>
  <c r="M783" i="1"/>
  <c r="M784" i="1" a="1"/>
  <c r="M784" i="1" s="1"/>
  <c r="M785" i="1" a="1"/>
  <c r="M785" i="1" s="1"/>
  <c r="M786" i="1" a="1"/>
  <c r="M786" i="1"/>
  <c r="M787" i="1" a="1"/>
  <c r="M787" i="1" s="1"/>
  <c r="M788" i="1" a="1"/>
  <c r="M788" i="1" s="1"/>
  <c r="M789" i="1" a="1"/>
  <c r="M789" i="1"/>
  <c r="M790" i="1" a="1"/>
  <c r="M790" i="1" s="1"/>
  <c r="M791" i="1" a="1"/>
  <c r="M791" i="1" s="1"/>
  <c r="M792" i="1" a="1"/>
  <c r="M792" i="1" s="1"/>
  <c r="M793" i="1" a="1"/>
  <c r="M793" i="1" s="1"/>
  <c r="M794" i="1" a="1"/>
  <c r="M794" i="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c r="M807" i="1" a="1"/>
  <c r="M807" i="1" s="1"/>
  <c r="M808" i="1" a="1"/>
  <c r="M808" i="1" s="1"/>
  <c r="M809" i="1" a="1"/>
  <c r="M809" i="1" s="1"/>
  <c r="M810" i="1" a="1"/>
  <c r="M810" i="1" s="1"/>
  <c r="M811" i="1" a="1"/>
  <c r="M811" i="1" s="1"/>
  <c r="M812" i="1" a="1"/>
  <c r="M812" i="1" s="1"/>
  <c r="M813" i="1" a="1"/>
  <c r="M813" i="1"/>
  <c r="M814" i="1" a="1"/>
  <c r="M814" i="1" s="1"/>
  <c r="M815" i="1" a="1"/>
  <c r="M815" i="1" s="1"/>
  <c r="M816" i="1" a="1"/>
  <c r="M816" i="1" s="1"/>
  <c r="M817" i="1" a="1"/>
  <c r="M817" i="1" s="1"/>
  <c r="M818" i="1" a="1"/>
  <c r="M818" i="1"/>
  <c r="M819" i="1" a="1"/>
  <c r="M819" i="1" s="1"/>
  <c r="M820" i="1" a="1"/>
  <c r="M820" i="1" s="1"/>
  <c r="M821" i="1" a="1"/>
  <c r="M821" i="1"/>
  <c r="M822" i="1" a="1"/>
  <c r="M822" i="1" s="1"/>
  <c r="M823" i="1" a="1"/>
  <c r="M823" i="1" s="1"/>
  <c r="M824" i="1" a="1"/>
  <c r="M824" i="1" s="1"/>
  <c r="M825" i="1" a="1"/>
  <c r="M825" i="1"/>
  <c r="M826" i="1" a="1"/>
  <c r="M826" i="1" s="1"/>
  <c r="M827" i="1" a="1"/>
  <c r="M827" i="1" s="1"/>
  <c r="M828" i="1" a="1"/>
  <c r="M828" i="1" s="1"/>
  <c r="M829" i="1" a="1"/>
  <c r="M829" i="1" s="1"/>
  <c r="M830" i="1" a="1"/>
  <c r="M830" i="1" s="1"/>
  <c r="M831" i="1" a="1"/>
  <c r="M831" i="1" s="1"/>
  <c r="M832" i="1" a="1"/>
  <c r="M832" i="1" s="1"/>
  <c r="M833" i="1" a="1"/>
  <c r="M833" i="1"/>
  <c r="M834" i="1" a="1"/>
  <c r="M834" i="1" s="1"/>
  <c r="M835" i="1" a="1"/>
  <c r="M835" i="1" s="1"/>
  <c r="M836" i="1" a="1"/>
  <c r="M836" i="1" s="1"/>
  <c r="M837" i="1" a="1"/>
  <c r="M837" i="1" s="1"/>
  <c r="M838" i="1" a="1"/>
  <c r="M838" i="1" s="1"/>
  <c r="M839" i="1" a="1"/>
  <c r="M839" i="1" s="1"/>
  <c r="M840" i="1" a="1"/>
  <c r="M840" i="1"/>
  <c r="M841" i="1" a="1"/>
  <c r="M841" i="1" s="1"/>
  <c r="M842" i="1" a="1"/>
  <c r="M842" i="1" s="1"/>
  <c r="M843" i="1" a="1"/>
  <c r="M843" i="1" s="1"/>
  <c r="M844" i="1" a="1"/>
  <c r="M844" i="1" s="1"/>
  <c r="M845" i="1" a="1"/>
  <c r="M845" i="1" s="1"/>
  <c r="M846" i="1" a="1"/>
  <c r="M846" i="1" s="1"/>
  <c r="M847" i="1" a="1"/>
  <c r="M847" i="1" s="1"/>
  <c r="M848" i="1" a="1"/>
  <c r="M848" i="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c r="M865" i="1" a="1"/>
  <c r="M865" i="1" s="1"/>
  <c r="M866" i="1" a="1"/>
  <c r="M866" i="1" s="1"/>
  <c r="M867" i="1" a="1"/>
  <c r="M867" i="1"/>
  <c r="M868" i="1" a="1"/>
  <c r="M868" i="1" s="1"/>
  <c r="M869" i="1" a="1"/>
  <c r="M869" i="1" s="1"/>
  <c r="M870" i="1" a="1"/>
  <c r="M870" i="1" s="1"/>
  <c r="M871" i="1" a="1"/>
  <c r="M871" i="1" s="1"/>
  <c r="M872" i="1" a="1"/>
  <c r="M872" i="1" s="1"/>
  <c r="M873" i="1" a="1"/>
  <c r="M873" i="1" s="1"/>
  <c r="M874" i="1" a="1"/>
  <c r="M874" i="1" s="1"/>
  <c r="M875" i="1" a="1"/>
  <c r="M875" i="1"/>
  <c r="M876" i="1" a="1"/>
  <c r="M876" i="1" s="1"/>
  <c r="M877" i="1" a="1"/>
  <c r="M877" i="1" s="1"/>
  <c r="M878" i="1" a="1"/>
  <c r="M878" i="1"/>
  <c r="M879" i="1" a="1"/>
  <c r="M879" i="1" s="1"/>
  <c r="M880" i="1" a="1"/>
  <c r="M880" i="1" s="1"/>
  <c r="M881" i="1" a="1"/>
  <c r="M881" i="1" s="1"/>
  <c r="M882" i="1" a="1"/>
  <c r="M882" i="1"/>
  <c r="M883" i="1" a="1"/>
  <c r="M883" i="1" s="1"/>
  <c r="M884" i="1" a="1"/>
  <c r="M884" i="1" s="1"/>
  <c r="M885" i="1" a="1"/>
  <c r="M885" i="1" s="1"/>
  <c r="M886" i="1" a="1"/>
  <c r="M886" i="1" s="1"/>
  <c r="M887" i="1" a="1"/>
  <c r="M887" i="1"/>
  <c r="M888" i="1" a="1"/>
  <c r="M888" i="1" s="1"/>
  <c r="M889" i="1" a="1"/>
  <c r="M889" i="1" s="1"/>
  <c r="M890" i="1" a="1"/>
  <c r="M890" i="1"/>
  <c r="M891" i="1" a="1"/>
  <c r="M891" i="1"/>
  <c r="M892" i="1" a="1"/>
  <c r="M892" i="1" s="1"/>
  <c r="M893" i="1" a="1"/>
  <c r="M893" i="1" s="1"/>
  <c r="M894" i="1" a="1"/>
  <c r="M894" i="1" s="1"/>
  <c r="M895" i="1" a="1"/>
  <c r="M895" i="1" s="1"/>
  <c r="M896" i="1" a="1"/>
  <c r="M896" i="1"/>
  <c r="M897" i="1" a="1"/>
  <c r="M897" i="1"/>
  <c r="M898" i="1" a="1"/>
  <c r="M898" i="1" s="1"/>
  <c r="M899" i="1" a="1"/>
  <c r="M899" i="1" s="1"/>
  <c r="M900" i="1" a="1"/>
  <c r="M900" i="1"/>
  <c r="M901" i="1" a="1"/>
  <c r="M901" i="1" s="1"/>
  <c r="M902" i="1" a="1"/>
  <c r="M902" i="1" s="1"/>
  <c r="M903" i="1" a="1"/>
  <c r="M903" i="1" s="1"/>
  <c r="M904" i="1" a="1"/>
  <c r="M904" i="1" s="1"/>
  <c r="M905" i="1" a="1"/>
  <c r="M905" i="1"/>
  <c r="M906" i="1" a="1"/>
  <c r="M906" i="1" s="1"/>
  <c r="M907" i="1" a="1"/>
  <c r="M907" i="1" s="1"/>
  <c r="M908" i="1" a="1"/>
  <c r="M908" i="1"/>
  <c r="M909" i="1" a="1"/>
  <c r="M909" i="1"/>
  <c r="M910" i="1" a="1"/>
  <c r="M910" i="1" s="1"/>
  <c r="M911" i="1" a="1"/>
  <c r="M911" i="1" s="1"/>
  <c r="M912" i="1" a="1"/>
  <c r="M912" i="1" s="1"/>
  <c r="M913" i="1" a="1"/>
  <c r="M913" i="1" s="1"/>
  <c r="M914" i="1" a="1"/>
  <c r="M914" i="1" s="1"/>
  <c r="M915" i="1" a="1"/>
  <c r="M915" i="1"/>
  <c r="M916" i="1" a="1"/>
  <c r="M916" i="1" s="1"/>
  <c r="M917" i="1" a="1"/>
  <c r="M917" i="1" s="1"/>
  <c r="M918" i="1" a="1"/>
  <c r="M918" i="1" s="1"/>
  <c r="M919" i="1" a="1"/>
  <c r="M919" i="1" s="1"/>
  <c r="M920" i="1" a="1"/>
  <c r="M920" i="1" s="1"/>
  <c r="M921" i="1" a="1"/>
  <c r="M921" i="1"/>
  <c r="M922" i="1" a="1"/>
  <c r="M922" i="1" s="1"/>
  <c r="M923" i="1" a="1"/>
  <c r="M923" i="1"/>
  <c r="M924" i="1" a="1"/>
  <c r="M924" i="1" s="1"/>
  <c r="M925" i="1" a="1"/>
  <c r="M925" i="1" s="1"/>
  <c r="M926" i="1" a="1"/>
  <c r="M926" i="1" s="1"/>
  <c r="M927" i="1" a="1"/>
  <c r="M927" i="1"/>
  <c r="M928" i="1" a="1"/>
  <c r="M928" i="1" s="1"/>
  <c r="M929" i="1" a="1"/>
  <c r="M929" i="1"/>
  <c r="M930" i="1" a="1"/>
  <c r="M930" i="1" s="1"/>
  <c r="M931" i="1" a="1"/>
  <c r="M931" i="1" s="1"/>
  <c r="M932" i="1" a="1"/>
  <c r="M932" i="1"/>
  <c r="M933" i="1" a="1"/>
  <c r="M933" i="1"/>
  <c r="M934" i="1" a="1"/>
  <c r="M934" i="1" s="1"/>
  <c r="M935" i="1" a="1"/>
  <c r="M935" i="1" s="1"/>
  <c r="M936" i="1" a="1"/>
  <c r="M936" i="1"/>
  <c r="M937" i="1" a="1"/>
  <c r="M937" i="1" s="1"/>
  <c r="M938" i="1" a="1"/>
  <c r="M938" i="1" s="1"/>
  <c r="M939" i="1" a="1"/>
  <c r="M939" i="1" s="1"/>
  <c r="M940" i="1" a="1"/>
  <c r="M940" i="1" s="1"/>
  <c r="M941" i="1" a="1"/>
  <c r="M941" i="1" s="1"/>
  <c r="M942" i="1" a="1"/>
  <c r="M942" i="1" s="1"/>
  <c r="M943" i="1" a="1"/>
  <c r="M943" i="1" s="1"/>
  <c r="M944" i="1" a="1"/>
  <c r="M944" i="1"/>
  <c r="M945" i="1" a="1"/>
  <c r="M945" i="1" s="1"/>
  <c r="M946" i="1" a="1"/>
  <c r="M946" i="1" s="1"/>
  <c r="M947" i="1" a="1"/>
  <c r="M947" i="1" s="1"/>
  <c r="M948" i="1" a="1"/>
  <c r="M948" i="1" s="1"/>
  <c r="M949" i="1" a="1"/>
  <c r="M949" i="1" s="1"/>
  <c r="M950" i="1" a="1"/>
  <c r="M950" i="1"/>
  <c r="M951" i="1" a="1"/>
  <c r="M951" i="1"/>
  <c r="M952" i="1" a="1"/>
  <c r="M952" i="1" s="1"/>
  <c r="M953" i="1" a="1"/>
  <c r="M953" i="1" s="1"/>
  <c r="M954" i="1" a="1"/>
  <c r="M954" i="1"/>
  <c r="M955" i="1" a="1"/>
  <c r="M955" i="1" s="1"/>
  <c r="M956" i="1" a="1"/>
  <c r="M956" i="1" s="1"/>
  <c r="M957" i="1" a="1"/>
  <c r="M957" i="1" s="1"/>
  <c r="M958" i="1" a="1"/>
  <c r="M958" i="1" s="1"/>
  <c r="M959" i="1" a="1"/>
  <c r="M959" i="1"/>
  <c r="M960" i="1" a="1"/>
  <c r="M960" i="1" s="1"/>
  <c r="M961" i="1" a="1"/>
  <c r="M961" i="1" s="1"/>
  <c r="M962" i="1" a="1"/>
  <c r="M962" i="1"/>
  <c r="M963" i="1" a="1"/>
  <c r="M963" i="1"/>
  <c r="M964" i="1" a="1"/>
  <c r="M964" i="1" s="1"/>
  <c r="M965" i="1" a="1"/>
  <c r="M965" i="1" s="1"/>
  <c r="M966" i="1" a="1"/>
  <c r="M966" i="1" s="1"/>
  <c r="M967" i="1" a="1"/>
  <c r="M967" i="1" s="1"/>
  <c r="M968" i="1" a="1"/>
  <c r="M968" i="1"/>
  <c r="M969" i="1" a="1"/>
  <c r="M969" i="1"/>
  <c r="M970" i="1" a="1"/>
  <c r="M970" i="1" s="1"/>
  <c r="M971" i="1" a="1"/>
  <c r="M971" i="1" s="1"/>
  <c r="M972" i="1" a="1"/>
  <c r="M972" i="1"/>
  <c r="M973" i="1" a="1"/>
  <c r="M973" i="1" s="1"/>
  <c r="M974" i="1" a="1"/>
  <c r="M974" i="1" s="1"/>
  <c r="M975" i="1" a="1"/>
  <c r="M975" i="1" s="1"/>
  <c r="M976" i="1" a="1"/>
  <c r="M976" i="1" s="1"/>
  <c r="M977" i="1" a="1"/>
  <c r="M977" i="1"/>
  <c r="M978" i="1" a="1"/>
  <c r="M978" i="1" s="1"/>
  <c r="M979" i="1" a="1"/>
  <c r="M979" i="1" s="1"/>
  <c r="M980" i="1" a="1"/>
  <c r="M980" i="1" s="1"/>
  <c r="M981" i="1" a="1"/>
  <c r="M981" i="1"/>
  <c r="M982" i="1" a="1"/>
  <c r="M982" i="1" s="1"/>
  <c r="M983" i="1" a="1"/>
  <c r="M983" i="1" s="1"/>
  <c r="M984" i="1" a="1"/>
  <c r="M984" i="1" s="1"/>
  <c r="M985" i="1" a="1"/>
  <c r="M985" i="1" s="1"/>
  <c r="M986" i="1" a="1"/>
  <c r="M986" i="1"/>
  <c r="M987" i="1" a="1"/>
  <c r="M987" i="1" s="1"/>
  <c r="M988" i="1" a="1"/>
  <c r="M988" i="1" s="1"/>
  <c r="M989" i="1" a="1"/>
  <c r="M989" i="1" s="1"/>
  <c r="M990" i="1" a="1"/>
  <c r="M990" i="1"/>
  <c r="M991" i="1" a="1"/>
  <c r="M991" i="1" s="1"/>
  <c r="M992" i="1" a="1"/>
  <c r="M992" i="1" s="1"/>
  <c r="M993" i="1" a="1"/>
  <c r="M993" i="1" s="1"/>
  <c r="M994" i="1" a="1"/>
  <c r="M994" i="1" s="1"/>
  <c r="M995" i="1" a="1"/>
  <c r="M995" i="1" s="1"/>
  <c r="M996" i="1" a="1"/>
  <c r="M996" i="1" s="1"/>
  <c r="M997" i="1" a="1"/>
  <c r="M997" i="1" s="1"/>
  <c r="M998" i="1" a="1"/>
  <c r="M998" i="1"/>
  <c r="M999" i="1" a="1"/>
  <c r="M999" i="1" s="1"/>
  <c r="M1000" i="1" a="1"/>
  <c r="M1000" i="1" s="1"/>
  <c r="M1001" i="1" a="1"/>
  <c r="M1001" i="1" s="1"/>
  <c r="M1002" i="1" a="1"/>
  <c r="M1002" i="1"/>
  <c r="M1003" i="1" a="1"/>
  <c r="M1003" i="1" s="1"/>
  <c r="M1004" i="1" a="1"/>
  <c r="M1004" i="1"/>
  <c r="M1005" i="1" a="1"/>
  <c r="M1005" i="1"/>
  <c r="M1006" i="1" a="1"/>
  <c r="M1006" i="1" s="1"/>
  <c r="M1007" i="1" a="1"/>
  <c r="M1007" i="1" s="1"/>
  <c r="M1008" i="1" a="1"/>
  <c r="M1008" i="1"/>
  <c r="M1009" i="1" a="1"/>
  <c r="M1009" i="1" s="1"/>
  <c r="M1010" i="1" a="1"/>
  <c r="M1010" i="1"/>
  <c r="M1011" i="1" a="1"/>
  <c r="M1011" i="1" s="1"/>
  <c r="M1012" i="1" a="1"/>
  <c r="M1012" i="1" s="1"/>
  <c r="M1013" i="1" a="1"/>
  <c r="M1013" i="1"/>
  <c r="M1014" i="1" a="1"/>
  <c r="M1014" i="1" s="1"/>
  <c r="M1015" i="1" a="1"/>
  <c r="M1015" i="1" s="1"/>
  <c r="M1016" i="1" a="1"/>
  <c r="M1016" i="1"/>
  <c r="M1017" i="1" a="1"/>
  <c r="M1017" i="1"/>
  <c r="M1018" i="1" a="1"/>
  <c r="M1018" i="1" s="1"/>
  <c r="M1019" i="1" a="1"/>
  <c r="M1019" i="1" s="1"/>
  <c r="M1020" i="1" a="1"/>
  <c r="M1020" i="1" s="1"/>
  <c r="M1021" i="1" a="1"/>
  <c r="M1021" i="1" s="1"/>
  <c r="M1022" i="1" a="1"/>
  <c r="M1022" i="1" s="1"/>
  <c r="M1023" i="1" a="1"/>
  <c r="M1023" i="1"/>
  <c r="M1024" i="1" a="1"/>
  <c r="M1024" i="1" s="1"/>
  <c r="M1025" i="1" a="1"/>
  <c r="M1025" i="1" s="1"/>
  <c r="M1026" i="1" a="1"/>
  <c r="M1026" i="1" s="1"/>
  <c r="M1027" i="1" a="1"/>
  <c r="M1027" i="1" s="1"/>
  <c r="M1028" i="1" a="1"/>
  <c r="M1028" i="1" s="1"/>
  <c r="M1029" i="1" a="1"/>
  <c r="M1029" i="1" s="1"/>
  <c r="M1030" i="1" a="1"/>
  <c r="M1030" i="1" s="1"/>
  <c r="M1031" i="1" a="1"/>
  <c r="M1031" i="1"/>
  <c r="M1032" i="1" a="1"/>
  <c r="M1032" i="1" s="1"/>
  <c r="M1033" i="1" a="1"/>
  <c r="M1033" i="1" s="1"/>
  <c r="M1034" i="1" a="1"/>
  <c r="M1034" i="1"/>
  <c r="M1035" i="1" a="1"/>
  <c r="M1035" i="1"/>
  <c r="M1036" i="1" a="1"/>
  <c r="M1036" i="1" s="1"/>
  <c r="M1037" i="1" a="1"/>
  <c r="M1037" i="1" s="1"/>
  <c r="M1038" i="1" a="1"/>
  <c r="M1038" i="1" s="1"/>
  <c r="M1039" i="1" a="1"/>
  <c r="M1039" i="1" s="1"/>
  <c r="M1040" i="1" a="1"/>
  <c r="M1040" i="1"/>
  <c r="M1041" i="1" a="1"/>
  <c r="M1041" i="1" s="1"/>
  <c r="M1042" i="1" a="1"/>
  <c r="M1042" i="1"/>
  <c r="M1043" i="1" a="1"/>
  <c r="M1043" i="1"/>
  <c r="M1044" i="1" a="1"/>
  <c r="M1044" i="1" s="1"/>
  <c r="M1045" i="1" a="1"/>
  <c r="M1045" i="1"/>
  <c r="M1046" i="1" a="1"/>
  <c r="M1046" i="1"/>
  <c r="M1047" i="1" a="1"/>
  <c r="M1047" i="1" s="1"/>
  <c r="M1048" i="1" a="1"/>
  <c r="M1048" i="1"/>
  <c r="M1049" i="1" a="1"/>
  <c r="M1049" i="1"/>
  <c r="M1050" i="1" a="1"/>
  <c r="M1050" i="1" s="1"/>
  <c r="M1051" i="1" a="1"/>
  <c r="M1051" i="1"/>
  <c r="M1052" i="1" a="1"/>
  <c r="M1052" i="1"/>
  <c r="M1053" i="1" a="1"/>
  <c r="M1053" i="1" s="1"/>
  <c r="M1054" i="1" a="1"/>
  <c r="M1054" i="1"/>
  <c r="M1055" i="1" a="1"/>
  <c r="M1055" i="1"/>
  <c r="M1056" i="1" a="1"/>
  <c r="M1056" i="1" s="1"/>
  <c r="M1057" i="1" a="1"/>
  <c r="M1057" i="1"/>
  <c r="M1058" i="1" a="1"/>
  <c r="M1058" i="1"/>
  <c r="M1059" i="1" a="1"/>
  <c r="M1059" i="1" s="1"/>
  <c r="M1060" i="1" a="1"/>
  <c r="M1060" i="1"/>
  <c r="M1061" i="1" a="1"/>
  <c r="M1061" i="1"/>
  <c r="M1062" i="1" a="1"/>
  <c r="M1062" i="1" s="1"/>
  <c r="M1063" i="1" a="1"/>
  <c r="M1063" i="1" s="1"/>
  <c r="M1064" i="1" a="1"/>
  <c r="M1064" i="1"/>
  <c r="M1065" i="1" a="1"/>
  <c r="M1065" i="1"/>
  <c r="M1066" i="1" a="1"/>
  <c r="M1066" i="1" s="1"/>
  <c r="M1067" i="1" a="1"/>
  <c r="M1067" i="1"/>
  <c r="M1068" i="1" a="1"/>
  <c r="M1068" i="1"/>
  <c r="M1069" i="1" a="1"/>
  <c r="M1069" i="1" s="1"/>
  <c r="M1070" i="1" a="1"/>
  <c r="M1070" i="1"/>
  <c r="M1071" i="1" a="1"/>
  <c r="M1071" i="1" s="1"/>
  <c r="M1072" i="1" a="1"/>
  <c r="M1072" i="1" s="1"/>
  <c r="M1073" i="1" a="1"/>
  <c r="M1073" i="1"/>
  <c r="M1074" i="1" a="1"/>
  <c r="M1074" i="1" s="1"/>
  <c r="M1075" i="1" a="1"/>
  <c r="M1075" i="1" s="1"/>
  <c r="M1076" i="1" a="1"/>
  <c r="M1076" i="1"/>
  <c r="M1077" i="1" a="1"/>
  <c r="M1077" i="1"/>
  <c r="M1078" i="1" a="1"/>
  <c r="M1078" i="1" s="1"/>
  <c r="M1079" i="1" a="1"/>
  <c r="M1079" i="1"/>
  <c r="M1080" i="1" a="1"/>
  <c r="M1080" i="1" s="1"/>
  <c r="M1081" i="1" a="1"/>
  <c r="M1081" i="1" s="1"/>
  <c r="M1082" i="1" a="1"/>
  <c r="M1082" i="1"/>
  <c r="M1083" i="1" a="1"/>
  <c r="M1083" i="1"/>
  <c r="M1084" i="1" a="1"/>
  <c r="M1084" i="1" s="1"/>
  <c r="M1085" i="1" a="1"/>
  <c r="M1085" i="1"/>
  <c r="M1086" i="1" a="1"/>
  <c r="M1086" i="1"/>
  <c r="M1087" i="1" a="1"/>
  <c r="M1087" i="1" s="1"/>
  <c r="M1088" i="1" a="1"/>
  <c r="M1088" i="1"/>
  <c r="M1089" i="1" a="1"/>
  <c r="M1089" i="1" s="1"/>
  <c r="M1090" i="1" a="1"/>
  <c r="M1090" i="1" s="1"/>
  <c r="M1091" i="1" a="1"/>
  <c r="M1091" i="1"/>
  <c r="M1092" i="1" a="1"/>
  <c r="M1092" i="1" s="1"/>
  <c r="M1093" i="1" a="1"/>
  <c r="M1093" i="1" s="1"/>
  <c r="M1094" i="1" a="1"/>
  <c r="M1094" i="1"/>
  <c r="M1095" i="1" a="1"/>
  <c r="M1095" i="1"/>
  <c r="M1096" i="1" a="1"/>
  <c r="M1096" i="1" s="1"/>
  <c r="M1097" i="1" a="1"/>
  <c r="M1097" i="1"/>
  <c r="M1098" i="1" a="1"/>
  <c r="M1098" i="1" s="1"/>
  <c r="M1099" i="1" a="1"/>
  <c r="M1099" i="1" s="1"/>
  <c r="M1100" i="1" a="1"/>
  <c r="M1100" i="1"/>
  <c r="M1101" i="1" a="1"/>
  <c r="M1101" i="1"/>
  <c r="M1102" i="1" a="1"/>
  <c r="M1102" i="1" s="1"/>
  <c r="M1103" i="1" a="1"/>
  <c r="M1103" i="1"/>
  <c r="M1104" i="1" a="1"/>
  <c r="M1104" i="1"/>
  <c r="M1105" i="1" a="1"/>
  <c r="M1105" i="1" s="1"/>
  <c r="M1106" i="1" a="1"/>
  <c r="M1106" i="1"/>
  <c r="M1107" i="1" a="1"/>
  <c r="M1107" i="1" s="1"/>
  <c r="M1108" i="1" a="1"/>
  <c r="M1108" i="1" s="1"/>
  <c r="M1109" i="1" a="1"/>
  <c r="M1109" i="1"/>
  <c r="M1110" i="1" a="1"/>
  <c r="M1110" i="1" s="1"/>
  <c r="M1111" i="1" a="1"/>
  <c r="M1111" i="1" s="1"/>
  <c r="M1112" i="1" a="1"/>
  <c r="M1112" i="1"/>
  <c r="M1113" i="1" a="1"/>
  <c r="M1113" i="1"/>
  <c r="M1114" i="1" a="1"/>
  <c r="M1114" i="1" s="1"/>
  <c r="M1115" i="1" a="1"/>
  <c r="M1115" i="1"/>
  <c r="M1116" i="1" a="1"/>
  <c r="M1116" i="1" s="1"/>
  <c r="M1117" i="1" a="1"/>
  <c r="M1117" i="1" s="1"/>
  <c r="M1118" i="1" a="1"/>
  <c r="M1118" i="1"/>
  <c r="M1119" i="1" a="1"/>
  <c r="M1119" i="1"/>
  <c r="M1120" i="1" a="1"/>
  <c r="M1120" i="1" s="1"/>
  <c r="M1121" i="1" a="1"/>
  <c r="M1121" i="1"/>
  <c r="M1122" i="1" a="1"/>
  <c r="M1122" i="1"/>
  <c r="M1123" i="1" a="1"/>
  <c r="M1123" i="1" s="1"/>
  <c r="M1124" i="1" a="1"/>
  <c r="M1124" i="1"/>
  <c r="M1125" i="1" a="1"/>
  <c r="M1125" i="1" s="1"/>
  <c r="M1126" i="1" a="1"/>
  <c r="M1126" i="1" s="1"/>
  <c r="M1127" i="1" a="1"/>
  <c r="M1127" i="1"/>
  <c r="M1128" i="1" a="1"/>
  <c r="M1128" i="1" s="1"/>
  <c r="M1129" i="1" a="1"/>
  <c r="M1129" i="1" s="1"/>
  <c r="M1130" i="1" a="1"/>
  <c r="M1130" i="1"/>
  <c r="M1131" i="1" a="1"/>
  <c r="M1131" i="1"/>
  <c r="M1132" i="1" a="1"/>
  <c r="M1132" i="1" s="1"/>
  <c r="M1133" i="1" a="1"/>
  <c r="M1133" i="1"/>
  <c r="M1134" i="1" a="1"/>
  <c r="M1134" i="1" s="1"/>
  <c r="M1135" i="1" a="1"/>
  <c r="M1135" i="1" s="1"/>
  <c r="M1136" i="1" a="1"/>
  <c r="M1136" i="1"/>
  <c r="M1137" i="1" a="1"/>
  <c r="M1137" i="1"/>
  <c r="M1138" i="1" a="1"/>
  <c r="M1138" i="1" s="1"/>
  <c r="M1139" i="1" a="1"/>
  <c r="M1139" i="1"/>
  <c r="M1140" i="1" a="1"/>
  <c r="M1140" i="1"/>
  <c r="M1141" i="1" a="1"/>
  <c r="M1141" i="1" s="1"/>
  <c r="M1142" i="1" a="1"/>
  <c r="M1142" i="1"/>
  <c r="M1143" i="1" a="1"/>
  <c r="M1143" i="1" s="1"/>
  <c r="M1144" i="1" a="1"/>
  <c r="M1144" i="1" s="1"/>
  <c r="M1145" i="1" a="1"/>
  <c r="M1145" i="1"/>
  <c r="M1146" i="1" a="1"/>
  <c r="M1146" i="1" s="1"/>
  <c r="M1147" i="1" a="1"/>
  <c r="M1147" i="1" s="1"/>
  <c r="M1148" i="1" a="1"/>
  <c r="M1148" i="1"/>
  <c r="M1149" i="1" a="1"/>
  <c r="M1149" i="1"/>
  <c r="M1150" i="1" a="1"/>
  <c r="M1150" i="1" s="1"/>
  <c r="M1151" i="1" a="1"/>
  <c r="M1151" i="1"/>
  <c r="M1152" i="1" a="1"/>
  <c r="M1152" i="1" s="1"/>
  <c r="M1153" i="1" a="1"/>
  <c r="M1153" i="1" s="1"/>
  <c r="M1154" i="1" a="1"/>
  <c r="M1154" i="1"/>
  <c r="M1155" i="1" a="1"/>
  <c r="M1155" i="1"/>
  <c r="M1156" i="1" a="1"/>
  <c r="M1156" i="1" s="1"/>
  <c r="M1157" i="1" a="1"/>
  <c r="M1157" i="1"/>
  <c r="M1158" i="1" a="1"/>
  <c r="M1158" i="1"/>
  <c r="M1159" i="1" a="1"/>
  <c r="M1159" i="1" s="1"/>
  <c r="M1160" i="1" a="1"/>
  <c r="M1160" i="1"/>
  <c r="M1161" i="1" a="1"/>
  <c r="M1161" i="1" s="1"/>
  <c r="M1162" i="1" a="1"/>
  <c r="M1162" i="1" s="1"/>
  <c r="M1163" i="1" a="1"/>
  <c r="M1163" i="1"/>
  <c r="M1164" i="1" a="1"/>
  <c r="M1164" i="1" s="1"/>
  <c r="M1165" i="1" a="1"/>
  <c r="M1165" i="1" s="1"/>
  <c r="M1166" i="1" a="1"/>
  <c r="M1166" i="1"/>
  <c r="M1167" i="1" a="1"/>
  <c r="M1167" i="1"/>
  <c r="M1168" i="1" a="1"/>
  <c r="M1168" i="1" s="1"/>
  <c r="M1169" i="1" a="1"/>
  <c r="M1169" i="1"/>
  <c r="M1170" i="1" a="1"/>
  <c r="M1170" i="1" s="1"/>
  <c r="M1171" i="1" a="1"/>
  <c r="M1171" i="1" s="1"/>
  <c r="M1172" i="1" a="1"/>
  <c r="M1172" i="1" s="1"/>
  <c r="M1173" i="1" a="1"/>
  <c r="M1173" i="1"/>
  <c r="M1174" i="1" a="1"/>
  <c r="M1174" i="1" s="1"/>
  <c r="M1175" i="1" a="1"/>
  <c r="M1175" i="1" s="1"/>
  <c r="M1176" i="1" a="1"/>
  <c r="M1176" i="1"/>
  <c r="M1177" i="1" a="1"/>
  <c r="M1177" i="1" s="1"/>
  <c r="M1178" i="1" a="1"/>
  <c r="M1178" i="1"/>
  <c r="M1179" i="1" a="1"/>
  <c r="M1179" i="1" s="1"/>
  <c r="M1180" i="1" a="1"/>
  <c r="M1180" i="1" s="1"/>
  <c r="M1181" i="1" a="1"/>
  <c r="M1181" i="1" s="1"/>
  <c r="M1182" i="1" a="1"/>
  <c r="M1182" i="1" s="1"/>
  <c r="M1183" i="1" a="1"/>
  <c r="M1183" i="1" s="1"/>
  <c r="M1184" i="1" a="1"/>
  <c r="M1184" i="1"/>
  <c r="M1185" i="1" a="1"/>
  <c r="M1185" i="1"/>
  <c r="M1186" i="1" a="1"/>
  <c r="M1186" i="1" s="1"/>
  <c r="M1187" i="1" a="1"/>
  <c r="M1187" i="1"/>
  <c r="M1188" i="1" a="1"/>
  <c r="M1188" i="1" s="1"/>
  <c r="M1189" i="1" a="1"/>
  <c r="M1189" i="1" s="1"/>
  <c r="M1190" i="1" a="1"/>
  <c r="M1190" i="1" s="1"/>
  <c r="M1191" i="1" a="1"/>
  <c r="M1191" i="1"/>
  <c r="M1192" i="1" a="1"/>
  <c r="M1192" i="1" s="1"/>
  <c r="M1193" i="1" a="1"/>
  <c r="M1193" i="1" s="1"/>
  <c r="M1194" i="1" a="1"/>
  <c r="M1194" i="1"/>
  <c r="M1195" i="1" a="1"/>
  <c r="M1195" i="1" s="1"/>
  <c r="M1196" i="1" a="1"/>
  <c r="M1196" i="1"/>
  <c r="M1197" i="1" a="1"/>
  <c r="M1197" i="1" s="1"/>
  <c r="M1198" i="1" a="1"/>
  <c r="M1198" i="1" s="1"/>
  <c r="M1199" i="1" a="1"/>
  <c r="M1199" i="1" s="1"/>
  <c r="M1200" i="1" a="1"/>
  <c r="M1200" i="1" s="1"/>
  <c r="M1201" i="1" a="1"/>
  <c r="M1201" i="1" s="1"/>
  <c r="M1202" i="1" a="1"/>
  <c r="M1202" i="1"/>
  <c r="M1203" i="1" a="1"/>
  <c r="M1203" i="1"/>
  <c r="M1204" i="1" a="1"/>
  <c r="M1204" i="1" s="1"/>
  <c r="M1205" i="1" a="1"/>
  <c r="M1205" i="1"/>
  <c r="M1206" i="1" a="1"/>
  <c r="M1206" i="1" s="1"/>
  <c r="M1207" i="1" a="1"/>
  <c r="M1207" i="1" s="1"/>
  <c r="M1208" i="1" a="1"/>
  <c r="M1208" i="1" s="1"/>
  <c r="M1209" i="1" a="1"/>
  <c r="M1209" i="1"/>
  <c r="M1210" i="1" a="1"/>
  <c r="M1210" i="1" s="1"/>
  <c r="M1211" i="1" a="1"/>
  <c r="M1211" i="1" s="1"/>
  <c r="M1212" i="1" a="1"/>
  <c r="M1212" i="1"/>
  <c r="M1213" i="1" a="1"/>
  <c r="M1213" i="1" s="1"/>
  <c r="M1214" i="1" a="1"/>
  <c r="M1214" i="1"/>
  <c r="M1215" i="1" a="1"/>
  <c r="M1215" i="1" s="1"/>
  <c r="M1216" i="1" a="1"/>
  <c r="M1216" i="1" s="1"/>
  <c r="M1217" i="1" a="1"/>
  <c r="M1217" i="1" s="1"/>
  <c r="M1218" i="1" a="1"/>
  <c r="M1218" i="1" s="1"/>
  <c r="M1219" i="1" a="1"/>
  <c r="M1219" i="1" s="1"/>
  <c r="M1220" i="1" a="1"/>
  <c r="M1220" i="1"/>
  <c r="M1221" i="1" a="1"/>
  <c r="M1221" i="1"/>
  <c r="M1222" i="1" a="1"/>
  <c r="M1222" i="1" s="1"/>
  <c r="M1223" i="1" a="1"/>
  <c r="M1223" i="1"/>
  <c r="M1224" i="1" a="1"/>
  <c r="M1224" i="1" s="1"/>
  <c r="M1225" i="1" a="1"/>
  <c r="M1225" i="1" s="1"/>
  <c r="M1226" i="1" a="1"/>
  <c r="M1226" i="1" s="1"/>
  <c r="M1227" i="1" a="1"/>
  <c r="M1227" i="1"/>
  <c r="M1228" i="1" a="1"/>
  <c r="M1228" i="1" s="1"/>
  <c r="M1229" i="1" a="1"/>
  <c r="M1229" i="1" s="1"/>
  <c r="M1230" i="1" a="1"/>
  <c r="M1230" i="1"/>
  <c r="M1231" i="1" a="1"/>
  <c r="M1231" i="1" s="1"/>
  <c r="M1232" i="1" a="1"/>
  <c r="M1232" i="1"/>
  <c r="M1233" i="1" a="1"/>
  <c r="M1233" i="1" s="1"/>
  <c r="M1234" i="1" a="1"/>
  <c r="M1234" i="1" s="1"/>
  <c r="M1235" i="1" a="1"/>
  <c r="M1235" i="1" s="1"/>
  <c r="M1236" i="1" a="1"/>
  <c r="M1236" i="1" s="1"/>
  <c r="M1237" i="1" a="1"/>
  <c r="M1237" i="1" s="1"/>
  <c r="M1238" i="1" a="1"/>
  <c r="M1238" i="1"/>
  <c r="M1239" i="1" a="1"/>
  <c r="M1239" i="1"/>
  <c r="M1240" i="1" a="1"/>
  <c r="M1240" i="1" s="1"/>
  <c r="M1241" i="1" a="1"/>
  <c r="M1241" i="1"/>
  <c r="M1242" i="1" a="1"/>
  <c r="M1242" i="1"/>
  <c r="M1243" i="1" a="1"/>
  <c r="M1243" i="1" s="1"/>
  <c r="M1244" i="1" a="1"/>
  <c r="M1244" i="1"/>
  <c r="M1245" i="1" a="1"/>
  <c r="M1245" i="1"/>
  <c r="M1246" i="1" a="1"/>
  <c r="M1246" i="1" s="1"/>
  <c r="M1247" i="1" a="1"/>
  <c r="M1247" i="1" s="1"/>
  <c r="M1248" i="1" a="1"/>
  <c r="M1248" i="1" s="1"/>
  <c r="M1249" i="1" a="1"/>
  <c r="M1249" i="1" s="1"/>
  <c r="M1250" i="1" a="1"/>
  <c r="M1250" i="1" s="1"/>
  <c r="M1251" i="1" a="1"/>
  <c r="M1251" i="1"/>
  <c r="M1252" i="1" a="1"/>
  <c r="M1252" i="1"/>
  <c r="M1253" i="1" a="1"/>
  <c r="M1253" i="1" s="1"/>
  <c r="M1254" i="1" a="1"/>
  <c r="M1254" i="1"/>
  <c r="M1255" i="1" a="1"/>
  <c r="M1255" i="1" s="1"/>
  <c r="M1256" i="1" a="1"/>
  <c r="M1256" i="1" s="1"/>
  <c r="M1257" i="1" a="1"/>
  <c r="M1257" i="1" s="1"/>
  <c r="M1258" i="1" a="1"/>
  <c r="M1258" i="1"/>
  <c r="M1259" i="1" a="1"/>
  <c r="M1259" i="1" s="1"/>
  <c r="M1260" i="1" a="1"/>
  <c r="M1260" i="1" s="1"/>
  <c r="M1261" i="1" a="1"/>
  <c r="M1261" i="1"/>
  <c r="M1262" i="1" a="1"/>
  <c r="M1262" i="1" s="1"/>
  <c r="M1263" i="1" a="1"/>
  <c r="M1263" i="1"/>
  <c r="M1264" i="1" a="1"/>
  <c r="M1264" i="1" s="1"/>
  <c r="M1265" i="1" a="1"/>
  <c r="M1265" i="1" s="1"/>
  <c r="M1266" i="1" a="1"/>
  <c r="M1266" i="1" s="1"/>
  <c r="M1267" i="1" a="1"/>
  <c r="M1267" i="1" s="1"/>
  <c r="M1268" i="1" a="1"/>
  <c r="M1268" i="1" s="1"/>
  <c r="M1269" i="1" a="1"/>
  <c r="M1269" i="1"/>
  <c r="M1270" i="1" a="1"/>
  <c r="M1270" i="1"/>
  <c r="M1271" i="1" a="1"/>
  <c r="M1271" i="1" s="1"/>
  <c r="M1272" i="1" a="1"/>
  <c r="M1272" i="1"/>
  <c r="M1273" i="1" a="1"/>
  <c r="M1273" i="1" s="1"/>
  <c r="M1274" i="1" a="1"/>
  <c r="M1274" i="1" s="1"/>
  <c r="M1275" i="1" a="1"/>
  <c r="M1275" i="1" s="1"/>
  <c r="M1276" i="1" a="1"/>
  <c r="M1276" i="1"/>
  <c r="M1277" i="1" a="1"/>
  <c r="M1277" i="1" s="1"/>
  <c r="M1278" i="1" a="1"/>
  <c r="M1278" i="1" s="1"/>
  <c r="M1279" i="1" a="1"/>
  <c r="M1279" i="1"/>
  <c r="M1280" i="1" a="1"/>
  <c r="M1280" i="1" s="1"/>
  <c r="M1281" i="1" a="1"/>
  <c r="M1281" i="1"/>
  <c r="M1282" i="1" a="1"/>
  <c r="M1282" i="1" s="1"/>
  <c r="M1283" i="1" a="1"/>
  <c r="M1283" i="1" s="1"/>
  <c r="M1284" i="1" a="1"/>
  <c r="M1284" i="1" s="1"/>
  <c r="M1285" i="1" a="1"/>
  <c r="M1285" i="1" s="1"/>
  <c r="M1286" i="1" a="1"/>
  <c r="M1286" i="1" s="1"/>
  <c r="M1287" i="1" a="1"/>
  <c r="M1287" i="1"/>
  <c r="M1288" i="1" a="1"/>
  <c r="M1288" i="1"/>
  <c r="M1289" i="1" a="1"/>
  <c r="M1289" i="1" s="1"/>
  <c r="M1290" i="1" a="1"/>
  <c r="M1290" i="1"/>
  <c r="M1291" i="1" a="1"/>
  <c r="M1291" i="1" s="1"/>
  <c r="M1292" i="1" a="1"/>
  <c r="M1292" i="1" s="1"/>
  <c r="M1293" i="1" a="1"/>
  <c r="M1293" i="1" s="1"/>
  <c r="M1294" i="1" a="1"/>
  <c r="M1294" i="1"/>
  <c r="M1295" i="1" a="1"/>
  <c r="M1295" i="1" s="1"/>
  <c r="M1296" i="1" a="1"/>
  <c r="M1296" i="1" s="1"/>
  <c r="M1297" i="1" a="1"/>
  <c r="M1297" i="1"/>
  <c r="M1298" i="1" a="1"/>
  <c r="M1298" i="1" s="1"/>
  <c r="M1299" i="1" a="1"/>
  <c r="M1299" i="1"/>
  <c r="M1300" i="1" a="1"/>
  <c r="M1300" i="1" s="1"/>
  <c r="M1301" i="1" a="1"/>
  <c r="M1301" i="1" s="1"/>
  <c r="M1302" i="1" a="1"/>
  <c r="M1302" i="1" s="1"/>
  <c r="M1303" i="1" a="1"/>
  <c r="M1303" i="1" s="1"/>
  <c r="M1304" i="1" a="1"/>
  <c r="M1304" i="1" s="1"/>
  <c r="M1305" i="1" a="1"/>
  <c r="M1305" i="1"/>
  <c r="M1306" i="1" a="1"/>
  <c r="M1306" i="1"/>
  <c r="M1307" i="1" a="1"/>
  <c r="M1307" i="1" s="1"/>
  <c r="M1308" i="1" a="1"/>
  <c r="M1308" i="1"/>
  <c r="M1309" i="1" a="1"/>
  <c r="M1309" i="1" s="1"/>
  <c r="M1310" i="1" a="1"/>
  <c r="M1310" i="1" s="1"/>
  <c r="M1311" i="1" a="1"/>
  <c r="M1311" i="1" s="1"/>
  <c r="M1312" i="1" a="1"/>
  <c r="M1312" i="1"/>
  <c r="M1313" i="1" a="1"/>
  <c r="M1313" i="1" s="1"/>
  <c r="M1314" i="1" a="1"/>
  <c r="M1314" i="1" s="1"/>
  <c r="M1315" i="1" a="1"/>
  <c r="M1315" i="1"/>
  <c r="M1316" i="1" a="1"/>
  <c r="M1316" i="1" s="1"/>
  <c r="M1317" i="1" a="1"/>
  <c r="M1317" i="1"/>
  <c r="M1318" i="1" a="1"/>
  <c r="M1318" i="1" s="1"/>
  <c r="M1319" i="1" a="1"/>
  <c r="M1319" i="1" s="1"/>
  <c r="M1320" i="1" a="1"/>
  <c r="M1320" i="1" s="1"/>
  <c r="M1321" i="1" a="1"/>
  <c r="M1321" i="1" s="1"/>
  <c r="M1322" i="1" a="1"/>
  <c r="M1322" i="1" s="1"/>
  <c r="M1323" i="1" a="1"/>
  <c r="M1323" i="1"/>
  <c r="M1324" i="1" a="1"/>
  <c r="M1324" i="1"/>
  <c r="M1325" i="1" a="1"/>
  <c r="M1325" i="1" s="1"/>
  <c r="M1326" i="1" a="1"/>
  <c r="M1326" i="1"/>
  <c r="M1327" i="1" a="1"/>
  <c r="M1327" i="1" s="1"/>
  <c r="M1328" i="1" a="1"/>
  <c r="M1328" i="1" s="1"/>
  <c r="M1329" i="1" a="1"/>
  <c r="M1329" i="1" s="1"/>
  <c r="M1330" i="1" a="1"/>
  <c r="M1330" i="1"/>
  <c r="M1331" i="1" a="1"/>
  <c r="M1331" i="1" s="1"/>
  <c r="M1332" i="1" a="1"/>
  <c r="M1332" i="1" s="1"/>
  <c r="M1333" i="1" a="1"/>
  <c r="M1333" i="1"/>
  <c r="M1334" i="1" a="1"/>
  <c r="M1334" i="1" s="1"/>
  <c r="M1335" i="1" a="1"/>
  <c r="M1335" i="1"/>
  <c r="M1336" i="1" a="1"/>
  <c r="M1336" i="1" s="1"/>
  <c r="M1337" i="1" a="1"/>
  <c r="M1337" i="1" s="1"/>
  <c r="M1338" i="1" a="1"/>
  <c r="M1338" i="1" s="1"/>
  <c r="M1339" i="1" a="1"/>
  <c r="M1339" i="1" s="1"/>
  <c r="M2" i="1" a="1"/>
  <c r="M2" i="1" s="1"/>
  <c r="N9" i="1"/>
  <c r="N8" i="1"/>
  <c r="N6" i="1"/>
  <c r="N5" i="1"/>
  <c r="N3" i="1"/>
  <c r="N2" i="1"/>
  <c r="B112" i="2"/>
  <c r="B109" i="2"/>
  <c r="B122" i="2"/>
  <c r="B115" i="2"/>
  <c r="B11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<sst xmlns="http://schemas.openxmlformats.org/spreadsheetml/2006/main" count="6749" uniqueCount="43">
  <si>
    <t>Never</t>
  </si>
  <si>
    <t>Weekly</t>
  </si>
  <si>
    <t>Rarely</t>
  </si>
  <si>
    <t>Daily</t>
  </si>
  <si>
    <t>Age Category</t>
  </si>
  <si>
    <t>Region</t>
  </si>
  <si>
    <t>Southwest</t>
  </si>
  <si>
    <t>Southeast</t>
  </si>
  <si>
    <t>Northwest</t>
  </si>
  <si>
    <t>Northeast</t>
  </si>
  <si>
    <t>Sex</t>
  </si>
  <si>
    <t>Female</t>
  </si>
  <si>
    <t>Male</t>
  </si>
  <si>
    <t>Occupation_risk</t>
  </si>
  <si>
    <t>High</t>
  </si>
  <si>
    <t>Moderate</t>
  </si>
  <si>
    <t>Low</t>
  </si>
  <si>
    <t>Smoker</t>
  </si>
  <si>
    <t>Yes</t>
  </si>
  <si>
    <t>No</t>
  </si>
  <si>
    <t>SKEWNESS OF AGE</t>
  </si>
  <si>
    <t xml:space="preserve">MEDIAN </t>
  </si>
  <si>
    <t>SKEWNESS OF BMI</t>
  </si>
  <si>
    <t>MEDIAN</t>
  </si>
  <si>
    <t>SKEWNESS OF CHILDREN</t>
  </si>
  <si>
    <t>Annual_income</t>
  </si>
  <si>
    <t>Pre_existing_condition</t>
  </si>
  <si>
    <t>Exercise_frequency</t>
  </si>
  <si>
    <t>Blood_pressure</t>
  </si>
  <si>
    <t>Charges</t>
  </si>
  <si>
    <t>Children</t>
  </si>
  <si>
    <t>Age</t>
  </si>
  <si>
    <t>BMI</t>
  </si>
  <si>
    <t>Row Labels</t>
  </si>
  <si>
    <t>Grand Total</t>
  </si>
  <si>
    <t>Count of Age</t>
  </si>
  <si>
    <t>Average of Charges</t>
  </si>
  <si>
    <t>Average of BMI</t>
  </si>
  <si>
    <t>Adult</t>
  </si>
  <si>
    <t>Senior</t>
  </si>
  <si>
    <t>Young</t>
  </si>
  <si>
    <t>Average of Blood_pressure</t>
  </si>
  <si>
    <t>Count of Smoker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</si>
</sst>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4" fillId="0" borderId="0" xfId="0" applyFon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theme="0"/>
      </font>
      <fill>
        <patternFill>
          <bgColor rgb="FF1E475C"/>
        </patternFill>
      </fill>
    </dxf>
    <dxf>
      <fill>
        <patternFill>
          <bgColor theme="0"/>
        </patternFill>
      </fill>
      <border>
        <left style="medium">
          <color auto="1"/>
        </left>
        <right style="medium">
          <color auto="1"/>
        </right>
        <top style="medium">
          <color auto="1"/>
        </top>
        <bottom style="medium">
          <color auto="1"/>
        </bottom>
      </border>
    </dxf>
    <dxf>
      <font>
        <color theme="0"/>
      </font>
      <fill>
        <patternFill>
          <bgColor rgb="FF1E475C"/>
        </patternFill>
      </fill>
    </dxf>
    <dxf>
      <fill>
        <patternFill>
          <bgColor theme="0"/>
        </patternFill>
      </fill>
      <border>
        <left style="thin">
          <color auto="1"/>
        </left>
        <right style="thin">
          <color auto="1"/>
        </right>
        <top style="thin">
          <color auto="1"/>
        </top>
        <bottom style="thin">
          <color auto="1"/>
        </bottom>
      </border>
    </dxf>
    <dxf>
      <font>
        <color theme="0"/>
      </font>
      <fill>
        <patternFill>
          <bgColor rgb="FF177F7D"/>
        </patternFill>
      </fill>
    </dxf>
    <dxf>
      <fill>
        <patternFill>
          <bgColor theme="0"/>
        </patternFill>
      </fill>
    </dxf>
    <dxf>
      <fill>
        <patternFill>
          <bgColor rgb="FF24556D"/>
        </patternFill>
      </fill>
    </dxf>
    <dxf>
      <font>
        <color theme="0"/>
      </font>
      <fill>
        <patternFill>
          <bgColor rgb="FF2DADA1"/>
        </patternFill>
      </fill>
    </dxf>
    <dxf>
      <font>
        <b/>
        <i val="0"/>
        <color theme="0"/>
      </font>
      <fill>
        <patternFill>
          <bgColor rgb="FF255D75"/>
        </patternFill>
      </fill>
    </dxf>
    <dxf>
      <fill>
        <patternFill>
          <bgColor rgb="FFFFFFFF"/>
        </patternFill>
      </fill>
    </dxf>
    <dxf>
      <font>
        <b/>
        <i val="0"/>
        <color theme="0"/>
      </font>
      <fill>
        <patternFill>
          <bgColor rgb="FF255D75"/>
        </patternFill>
      </fill>
    </dxf>
    <dxf>
      <font>
        <b/>
        <i val="0"/>
        <color theme="0"/>
      </font>
      <fill>
        <patternFill>
          <bgColor rgb="FF255D75"/>
        </patternFill>
      </fill>
    </dxf>
    <dxf>
      <fill>
        <patternFill>
          <bgColor theme="0"/>
        </patternFill>
      </fill>
    </dxf>
  </dxfs>
  <tableStyles count="7" defaultTableStyle="TableStyleMedium2" defaultPivotStyle="PivotStyleLight16">
    <tableStyle name="CORPORATE BLUE" pivot="0" table="0" count="4" xr9:uid="{2A151306-4595-4382-9722-0C99FE97BD8B}">
      <tableStyleElement type="wholeTable" dxfId="33"/>
      <tableStyleElement type="headerRow" dxfId="32"/>
    </tableStyle>
    <tableStyle name="Slicer Style 1" pivot="0" table="0" count="4" xr9:uid="{F66A9534-2952-4548-AA0D-C53758E163F1}">
      <tableStyleElement type="headerRow" dxfId="31"/>
    </tableStyle>
    <tableStyle name="Slicer Style 2" pivot="0" table="0" count="4" xr9:uid="{FB730770-9699-4BB8-A69C-BA89F383BD19}">
      <tableStyleElement type="wholeTable" dxfId="30"/>
      <tableStyleElement type="headerRow" dxfId="29"/>
    </tableStyle>
    <tableStyle name="Slicer Style 3" pivot="0" table="0" count="3" xr9:uid="{63317087-02B6-4F54-84CA-1C0990624FD0}">
      <tableStyleElement type="wholeTable" dxfId="28"/>
      <tableStyleElement type="headerRow" dxfId="27"/>
    </tableStyle>
    <tableStyle name="Slicer Style 4" pivot="0" table="0" count="3" xr9:uid="{96615AC4-0E26-458F-9C64-289C7A473DB5}">
      <tableStyleElement type="wholeTable" dxfId="26"/>
      <tableStyleElement type="headerRow" dxfId="25"/>
    </tableStyle>
    <tableStyle name="Slicer Style 5" pivot="0" table="0" count="3" xr9:uid="{F2277E86-A87A-411A-B90A-FC79231B4AB6}">
      <tableStyleElement type="wholeTable" dxfId="24"/>
      <tableStyleElement type="headerRow" dxfId="23"/>
    </tableStyle>
    <tableStyle name="Slicer Style 5 2" pivot="0" table="0" count="3" xr9:uid="{189BD091-61DC-4626-BF1C-C6B16DE074CD}">
      <tableStyleElement type="wholeTable" dxfId="22"/>
      <tableStyleElement type="headerRow" dxfId="21"/>
    </tableStyle>
  </tableStyles>
  <colors>
    <mruColors>
      <color rgb="FF24556D"/>
      <color rgb="FF1DA1A1"/>
      <color rgb="FF126462"/>
      <color rgb="FF20B2AF"/>
      <color rgb="FF177F7D"/>
      <color rgb="FF1D4457"/>
      <color rgb="FF156082"/>
      <color rgb="FF2C6784"/>
      <color rgb="FF157D7B"/>
      <color rgb="FF1B9592"/>
    </mruColors>
  </colors>
  <extLst>
    <ext xmlns:x14="http://schemas.microsoft.com/office/spreadsheetml/2009/9/main" uri="{46F421CA-312F-682f-3DD2-61675219B42D}">
      <x14:dxfs count="11">
        <dxf>
          <font>
            <color theme="0"/>
          </font>
          <fill>
            <patternFill>
              <bgColor rgb="FF167876"/>
            </patternFill>
          </fill>
        </dxf>
        <dxf>
          <font>
            <color theme="0"/>
          </font>
          <fill>
            <patternFill>
              <bgColor rgb="FF167876"/>
            </patternFill>
          </fill>
        </dxf>
        <dxf>
          <font>
            <color theme="0"/>
          </font>
          <fill>
            <patternFill>
              <bgColor rgb="FF24556D"/>
            </patternFill>
          </fill>
        </dxf>
        <dxf>
          <fill>
            <patternFill>
              <bgColor rgb="FF23536B"/>
            </patternFill>
          </fill>
        </dxf>
        <dxf>
          <font>
            <b/>
            <i val="0"/>
            <color theme="0"/>
          </font>
          <fill>
            <patternFill>
              <bgColor rgb="FF376D96"/>
            </patternFill>
          </fill>
        </dxf>
        <dxf>
          <font>
            <color theme="0"/>
          </font>
          <fill>
            <patternFill>
              <bgColor rgb="FF204D62"/>
            </patternFill>
          </fill>
        </dxf>
        <dxf>
          <font>
            <b/>
            <i val="0"/>
            <color theme="0"/>
          </font>
          <fill>
            <patternFill>
              <bgColor rgb="FF37D606"/>
            </patternFill>
          </fill>
        </dxf>
        <dxf>
          <font>
            <b/>
            <i val="0"/>
            <color theme="0"/>
          </font>
          <fill>
            <patternFill>
              <bgColor rgb="FF376D96"/>
            </patternFill>
          </fill>
        </dxf>
        <dxf>
          <font>
            <color theme="0"/>
          </font>
          <fill>
            <patternFill>
              <bgColor rgb="FF204D62"/>
            </patternFill>
          </fill>
        </dxf>
        <dxf>
          <font>
            <b/>
            <i val="0"/>
            <color theme="0"/>
          </font>
          <fill>
            <patternFill>
              <bgColor rgb="FF376D96"/>
            </patternFill>
          </fill>
        </dxf>
        <dxf>
          <font>
            <color theme="0"/>
          </font>
          <fill>
            <patternFill>
              <bgColor rgb="FF204D62"/>
            </patternFill>
          </fill>
        </dxf>
      </x14:dxfs>
    </ext>
    <ext xmlns:x14="http://schemas.microsoft.com/office/spreadsheetml/2009/9/main" uri="{EB79DEF2-80B8-43e5-95BD-54CBDDF9020C}">
      <x14:slicerStyles defaultSlicerStyle="SlicerStyleLight1">
        <x14:slicerStyle name="CORPORATE BLUE">
          <x14:slicerStyleElements>
            <x14:slicerStyleElement type="unselectedItemWithData" dxfId="10"/>
            <x14:slicerStyleElement type="selectedItemWithData" dxfId="9"/>
          </x14:slicerStyleElements>
        </x14:slicerStyle>
        <x14:slicerStyle name="Slicer Style 1">
          <x14:slicerStyleElements>
            <x14:slicerStyleElement type="unselectedItemWithData" dxfId="8"/>
            <x14:slicerStyleElement type="selectedItemWithData" dxfId="7"/>
            <x14:slicerStyleElement type="selectedItemWithNoData" dxfId="6"/>
          </x14:slicerStyleElements>
        </x14:slicerStyle>
        <x14:slicerStyle name="Slicer Style 2">
          <x14:slicerStyleElements>
            <x14:slicerStyleElement type="unselectedItemWithData" dxfId="5"/>
            <x14:slicerStyleElement type="selectedItemWithData" dxfId="4"/>
          </x14:slicerStyleElements>
        </x14:slicerStyle>
        <x14:slicerStyle name="Slicer Style 3">
          <x14:slicerStyleElements>
            <x14:slicerStyleElement type="selectedItemWithData" dxfId="3"/>
          </x14:slicerStyleElements>
        </x14:slicerStyle>
        <x14:slicerStyle name="Slicer Style 4">
          <x14:slicerStyleElements>
            <x14:slicerStyleElement type="selectedItemWithData" dxfId="2"/>
          </x14:slicerStyleElements>
        </x14:slicerStyle>
        <x14:slicerStyle name="Slicer Style 5">
          <x14:slicerStyleElements>
            <x14:slicerStyleElement type="selectedItemWithData" dxfId="1"/>
          </x14:slicerStyleElements>
        </x14:slicerStyle>
        <x14:slicerStyle name="Slicer Style 5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EB-4F3C-BE24-598F05388D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EB-4F3C-BE24-598F05388D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EB-4F3C-BE24-598F05388D24}"/>
              </c:ext>
            </c:extLst>
          </c:dPt>
          <c:cat>
            <c:strRef>
              <c:f>Sheet1!$A$4:$A$7</c:f>
              <c:strCache>
                <c:ptCount val="3"/>
                <c:pt idx="0">
                  <c:v>Adult</c:v>
                </c:pt>
                <c:pt idx="1">
                  <c:v>Senior</c:v>
                </c:pt>
                <c:pt idx="2">
                  <c:v>Young</c:v>
                </c:pt>
              </c:strCache>
            </c:strRef>
          </c:cat>
          <c:val>
            <c:numRef>
              <c:f>Sheet1!$B$4:$B$7</c:f>
              <c:numCache>
                <c:formatCode>General</c:formatCode>
                <c:ptCount val="3"/>
                <c:pt idx="0">
                  <c:v>566</c:v>
                </c:pt>
                <c:pt idx="1">
                  <c:v>356</c:v>
                </c:pt>
                <c:pt idx="2">
                  <c:v>416</c:v>
                </c:pt>
              </c:numCache>
            </c:numRef>
          </c:val>
          <c:extLst>
            <c:ext xmlns:c16="http://schemas.microsoft.com/office/drawing/2014/chart" uri="{C3380CC4-5D6E-409C-BE32-E72D297353CC}">
              <c16:uniqueId val="{0000000D-FBF0-4733-A1C5-1EEDA84CAF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Sheet1!$A$19:$A$22</c:f>
              <c:strCache>
                <c:ptCount val="3"/>
                <c:pt idx="0">
                  <c:v>Adult</c:v>
                </c:pt>
                <c:pt idx="1">
                  <c:v>Senior</c:v>
                </c:pt>
                <c:pt idx="2">
                  <c:v>Young</c:v>
                </c:pt>
              </c:strCache>
            </c:strRef>
          </c:cat>
          <c:val>
            <c:numRef>
              <c:f>Sheet1!$B$19:$B$22</c:f>
              <c:numCache>
                <c:formatCode>0</c:formatCode>
                <c:ptCount val="3"/>
                <c:pt idx="0">
                  <c:v>13233.744260070667</c:v>
                </c:pt>
                <c:pt idx="1">
                  <c:v>18084.987222949429</c:v>
                </c:pt>
                <c:pt idx="2">
                  <c:v>9200.1689619927838</c:v>
                </c:pt>
              </c:numCache>
            </c:numRef>
          </c:val>
          <c:extLst>
            <c:ext xmlns:c16="http://schemas.microsoft.com/office/drawing/2014/chart" uri="{C3380CC4-5D6E-409C-BE32-E72D297353CC}">
              <c16:uniqueId val="{00000000-4B9D-4A77-B6E6-4037A1C93F9B}"/>
            </c:ext>
          </c:extLst>
        </c:ser>
        <c:dLbls>
          <c:showLegendKey val="0"/>
          <c:showVal val="0"/>
          <c:showCatName val="0"/>
          <c:showSerName val="0"/>
          <c:showPercent val="0"/>
          <c:showBubbleSize val="0"/>
        </c:dLbls>
        <c:gapWidth val="219"/>
        <c:overlap val="-27"/>
        <c:axId val="114154847"/>
        <c:axId val="860730607"/>
      </c:barChart>
      <c:catAx>
        <c:axId val="11415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30607"/>
        <c:crosses val="autoZero"/>
        <c:auto val="1"/>
        <c:lblAlgn val="ctr"/>
        <c:lblOffset val="100"/>
        <c:noMultiLvlLbl val="0"/>
      </c:catAx>
      <c:valAx>
        <c:axId val="8607306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4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Sheet1!$B$36</c:f>
              <c:strCache>
                <c:ptCount val="1"/>
                <c:pt idx="0">
                  <c:v>Total</c:v>
                </c:pt>
              </c:strCache>
            </c:strRef>
          </c:tx>
          <c:spPr>
            <a:solidFill>
              <a:schemeClr val="accent1"/>
            </a:solidFill>
            <a:ln w="25400">
              <a:noFill/>
            </a:ln>
            <a:effectLst/>
          </c:spPr>
          <c:invertIfNegative val="0"/>
          <c:cat>
            <c:strRef>
              <c:f>Sheet1!$A$37:$A$40</c:f>
              <c:strCache>
                <c:ptCount val="3"/>
                <c:pt idx="0">
                  <c:v>Adult</c:v>
                </c:pt>
                <c:pt idx="1">
                  <c:v>Senior</c:v>
                </c:pt>
                <c:pt idx="2">
                  <c:v>Young</c:v>
                </c:pt>
              </c:strCache>
            </c:strRef>
          </c:cat>
          <c:val>
            <c:numRef>
              <c:f>Sheet1!$B$37:$B$40</c:f>
              <c:numCache>
                <c:formatCode>0</c:formatCode>
                <c:ptCount val="3"/>
                <c:pt idx="0">
                  <c:v>30.61712014134277</c:v>
                </c:pt>
                <c:pt idx="1">
                  <c:v>31.706797752808974</c:v>
                </c:pt>
                <c:pt idx="2">
                  <c:v>29.836646634615388</c:v>
                </c:pt>
              </c:numCache>
            </c:numRef>
          </c:val>
          <c:extLst>
            <c:ext xmlns:c16="http://schemas.microsoft.com/office/drawing/2014/chart" uri="{C3380CC4-5D6E-409C-BE32-E72D297353CC}">
              <c16:uniqueId val="{00000000-A6DC-4147-B173-E7DF61C6C0ED}"/>
            </c:ext>
          </c:extLst>
        </c:ser>
        <c:dLbls>
          <c:showLegendKey val="0"/>
          <c:showVal val="0"/>
          <c:showCatName val="0"/>
          <c:showSerName val="0"/>
          <c:showPercent val="0"/>
          <c:showBubbleSize val="0"/>
        </c:dLbls>
        <c:gapWidth val="150"/>
        <c:axId val="114159023"/>
        <c:axId val="860758447"/>
      </c:barChart>
      <c:catAx>
        <c:axId val="114159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58447"/>
        <c:crosses val="autoZero"/>
        <c:auto val="1"/>
        <c:lblAlgn val="ctr"/>
        <c:lblOffset val="100"/>
        <c:noMultiLvlLbl val="0"/>
      </c:catAx>
      <c:valAx>
        <c:axId val="860758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Sheet1!$B$54</c:f>
              <c:strCache>
                <c:ptCount val="1"/>
                <c:pt idx="0">
                  <c:v>Total</c:v>
                </c:pt>
              </c:strCache>
            </c:strRef>
          </c:tx>
          <c:spPr>
            <a:solidFill>
              <a:schemeClr val="accent1"/>
            </a:solidFill>
            <a:ln>
              <a:noFill/>
            </a:ln>
            <a:effectLst/>
          </c:spPr>
          <c:invertIfNegative val="0"/>
          <c:cat>
            <c:strRef>
              <c:f>Sheet1!$A$55:$A$59</c:f>
              <c:strCache>
                <c:ptCount val="4"/>
                <c:pt idx="0">
                  <c:v>Northeast</c:v>
                </c:pt>
                <c:pt idx="1">
                  <c:v>Northwest</c:v>
                </c:pt>
                <c:pt idx="2">
                  <c:v>Southeast</c:v>
                </c:pt>
                <c:pt idx="3">
                  <c:v>Southwest</c:v>
                </c:pt>
              </c:strCache>
            </c:strRef>
          </c:cat>
          <c:val>
            <c:numRef>
              <c:f>Sheet1!$B$55:$B$59</c:f>
              <c:numCache>
                <c:formatCode>0</c:formatCode>
                <c:ptCount val="4"/>
                <c:pt idx="0">
                  <c:v>324</c:v>
                </c:pt>
                <c:pt idx="1">
                  <c:v>325</c:v>
                </c:pt>
                <c:pt idx="2">
                  <c:v>364</c:v>
                </c:pt>
                <c:pt idx="3">
                  <c:v>325</c:v>
                </c:pt>
              </c:numCache>
            </c:numRef>
          </c:val>
          <c:extLst>
            <c:ext xmlns:c16="http://schemas.microsoft.com/office/drawing/2014/chart" uri="{C3380CC4-5D6E-409C-BE32-E72D297353CC}">
              <c16:uniqueId val="{00000003-FC8E-4A32-88F3-29ED43A63064}"/>
            </c:ext>
          </c:extLst>
        </c:ser>
        <c:dLbls>
          <c:showLegendKey val="0"/>
          <c:showVal val="0"/>
          <c:showCatName val="0"/>
          <c:showSerName val="0"/>
          <c:showPercent val="0"/>
          <c:showBubbleSize val="0"/>
        </c:dLbls>
        <c:gapWidth val="182"/>
        <c:axId val="895360303"/>
        <c:axId val="860736847"/>
      </c:barChart>
      <c:catAx>
        <c:axId val="89536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36847"/>
        <c:crosses val="autoZero"/>
        <c:auto val="1"/>
        <c:lblAlgn val="ctr"/>
        <c:lblOffset val="100"/>
        <c:noMultiLvlLbl val="0"/>
      </c:catAx>
      <c:valAx>
        <c:axId val="8607368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36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Sheet1!$B$73</c:f>
              <c:strCache>
                <c:ptCount val="1"/>
                <c:pt idx="0">
                  <c:v>Total</c:v>
                </c:pt>
              </c:strCache>
            </c:strRef>
          </c:tx>
          <c:spPr>
            <a:ln w="28575" cap="rnd">
              <a:solidFill>
                <a:schemeClr val="accent1"/>
              </a:solidFill>
              <a:round/>
            </a:ln>
            <a:effectLst/>
          </c:spPr>
          <c:marker>
            <c:symbol val="none"/>
          </c:marker>
          <c:cat>
            <c:strRef>
              <c:f>Sheet1!$A$74:$A$80</c:f>
              <c:strCache>
                <c:ptCount val="6"/>
                <c:pt idx="0">
                  <c:v>0</c:v>
                </c:pt>
                <c:pt idx="1">
                  <c:v>1</c:v>
                </c:pt>
                <c:pt idx="2">
                  <c:v>2</c:v>
                </c:pt>
                <c:pt idx="3">
                  <c:v>3</c:v>
                </c:pt>
                <c:pt idx="4">
                  <c:v>4</c:v>
                </c:pt>
                <c:pt idx="5">
                  <c:v>5</c:v>
                </c:pt>
              </c:strCache>
            </c:strRef>
          </c:cat>
          <c:val>
            <c:numRef>
              <c:f>Sheet1!$B$74:$B$80</c:f>
              <c:numCache>
                <c:formatCode>0</c:formatCode>
                <c:ptCount val="6"/>
                <c:pt idx="0">
                  <c:v>12337.080032144848</c:v>
                </c:pt>
                <c:pt idx="1">
                  <c:v>12780.993262676913</c:v>
                </c:pt>
                <c:pt idx="2">
                  <c:v>15073.563733958328</c:v>
                </c:pt>
                <c:pt idx="3">
                  <c:v>15355.31836681528</c:v>
                </c:pt>
                <c:pt idx="4">
                  <c:v>13850.656311199999</c:v>
                </c:pt>
                <c:pt idx="5">
                  <c:v>8786.0352472222221</c:v>
                </c:pt>
              </c:numCache>
            </c:numRef>
          </c:val>
          <c:smooth val="0"/>
          <c:extLst>
            <c:ext xmlns:c16="http://schemas.microsoft.com/office/drawing/2014/chart" uri="{C3380CC4-5D6E-409C-BE32-E72D297353CC}">
              <c16:uniqueId val="{00000005-80FF-48BC-B2E1-B7C8FE9960FE}"/>
            </c:ext>
          </c:extLst>
        </c:ser>
        <c:dLbls>
          <c:showLegendKey val="0"/>
          <c:showVal val="0"/>
          <c:showCatName val="0"/>
          <c:showSerName val="0"/>
          <c:showPercent val="0"/>
          <c:showBubbleSize val="0"/>
        </c:dLbls>
        <c:smooth val="0"/>
        <c:axId val="895275855"/>
        <c:axId val="860719567"/>
      </c:lineChart>
      <c:catAx>
        <c:axId val="89527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19567"/>
        <c:crosses val="autoZero"/>
        <c:auto val="1"/>
        <c:lblAlgn val="ctr"/>
        <c:lblOffset val="100"/>
        <c:noMultiLvlLbl val="0"/>
      </c:catAx>
      <c:valAx>
        <c:axId val="860719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27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Sheet1!$B$93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2A-4935-97A4-71EE6B966C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2A-4935-97A4-71EE6B966C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2A-4935-97A4-71EE6B966C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2A-4935-97A4-71EE6B966C64}"/>
              </c:ext>
            </c:extLst>
          </c:dPt>
          <c:cat>
            <c:strRef>
              <c:f>Sheet1!$A$94:$A$98</c:f>
              <c:strCache>
                <c:ptCount val="4"/>
                <c:pt idx="0">
                  <c:v>Daily</c:v>
                </c:pt>
                <c:pt idx="1">
                  <c:v>Never</c:v>
                </c:pt>
                <c:pt idx="2">
                  <c:v>Rarely</c:v>
                </c:pt>
                <c:pt idx="3">
                  <c:v>Weekly</c:v>
                </c:pt>
              </c:strCache>
            </c:strRef>
          </c:cat>
          <c:val>
            <c:numRef>
              <c:f>Sheet1!$B$94:$B$98</c:f>
              <c:numCache>
                <c:formatCode>General</c:formatCode>
                <c:ptCount val="4"/>
                <c:pt idx="0">
                  <c:v>349</c:v>
                </c:pt>
                <c:pt idx="1">
                  <c:v>303</c:v>
                </c:pt>
                <c:pt idx="2">
                  <c:v>334</c:v>
                </c:pt>
                <c:pt idx="3">
                  <c:v>352</c:v>
                </c:pt>
              </c:numCache>
            </c:numRef>
          </c:val>
          <c:extLst>
            <c:ext xmlns:c16="http://schemas.microsoft.com/office/drawing/2014/chart" uri="{C3380CC4-5D6E-409C-BE32-E72D297353CC}">
              <c16:uniqueId val="{00000000-EDB9-4BAF-85A4-5BB33C32D0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4FD1C5"/>
              </a:gs>
              <a:gs pos="0">
                <a:schemeClr val="accent1">
                  <a:lumMod val="100000"/>
                </a:schemeClr>
              </a:gs>
              <a:gs pos="100000">
                <a:srgbClr val="1DA1A1"/>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40000">
                <a:srgbClr val="24556D"/>
              </a:gs>
              <a:gs pos="0">
                <a:srgbClr val="24556D"/>
              </a:gs>
              <a:gs pos="100000">
                <a:srgbClr val="1DA1A1"/>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44688109161793"/>
          <c:y val="0.22893026004728131"/>
          <c:w val="0.77270808966861604"/>
          <c:h val="0.62801359338061469"/>
        </c:manualLayout>
      </c:layout>
      <c:barChart>
        <c:barDir val="bar"/>
        <c:grouping val="clustered"/>
        <c:varyColors val="0"/>
        <c:ser>
          <c:idx val="0"/>
          <c:order val="0"/>
          <c:tx>
            <c:strRef>
              <c:f>Sheet1!$B$54</c:f>
              <c:strCache>
                <c:ptCount val="1"/>
                <c:pt idx="0">
                  <c:v>Total</c:v>
                </c:pt>
              </c:strCache>
            </c:strRef>
          </c:tx>
          <c:spPr>
            <a:gradFill>
              <a:gsLst>
                <a:gs pos="40000">
                  <a:srgbClr val="24556D"/>
                </a:gs>
                <a:gs pos="0">
                  <a:srgbClr val="24556D"/>
                </a:gs>
                <a:gs pos="100000">
                  <a:srgbClr val="1DA1A1"/>
                </a:gs>
              </a:gsLst>
              <a:path path="circle">
                <a:fillToRect l="50000" t="130000" r="50000" b="-30000"/>
              </a:path>
            </a:gradFill>
            <a:ln>
              <a:noFill/>
            </a:ln>
            <a:effectLst/>
          </c:spPr>
          <c:invertIfNegative val="0"/>
          <c:cat>
            <c:strRef>
              <c:f>Sheet1!$A$55:$A$59</c:f>
              <c:strCache>
                <c:ptCount val="4"/>
                <c:pt idx="0">
                  <c:v>Northeast</c:v>
                </c:pt>
                <c:pt idx="1">
                  <c:v>Northwest</c:v>
                </c:pt>
                <c:pt idx="2">
                  <c:v>Southeast</c:v>
                </c:pt>
                <c:pt idx="3">
                  <c:v>Southwest</c:v>
                </c:pt>
              </c:strCache>
            </c:strRef>
          </c:cat>
          <c:val>
            <c:numRef>
              <c:f>Sheet1!$B$55:$B$59</c:f>
              <c:numCache>
                <c:formatCode>0</c:formatCode>
                <c:ptCount val="4"/>
                <c:pt idx="0">
                  <c:v>324</c:v>
                </c:pt>
                <c:pt idx="1">
                  <c:v>325</c:v>
                </c:pt>
                <c:pt idx="2">
                  <c:v>364</c:v>
                </c:pt>
                <c:pt idx="3">
                  <c:v>325</c:v>
                </c:pt>
              </c:numCache>
            </c:numRef>
          </c:val>
          <c:extLst>
            <c:ext xmlns:c16="http://schemas.microsoft.com/office/drawing/2014/chart" uri="{C3380CC4-5D6E-409C-BE32-E72D297353CC}">
              <c16:uniqueId val="{00000002-32D7-4DC3-BF7E-FFD9D99D9E5A}"/>
            </c:ext>
          </c:extLst>
        </c:ser>
        <c:dLbls>
          <c:showLegendKey val="0"/>
          <c:showVal val="0"/>
          <c:showCatName val="0"/>
          <c:showSerName val="0"/>
          <c:showPercent val="0"/>
          <c:showBubbleSize val="0"/>
        </c:dLbls>
        <c:gapWidth val="182"/>
        <c:axId val="895360303"/>
        <c:axId val="860736847"/>
      </c:barChart>
      <c:catAx>
        <c:axId val="89536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36847"/>
        <c:crosses val="autoZero"/>
        <c:auto val="1"/>
        <c:lblAlgn val="ctr"/>
        <c:lblOffset val="100"/>
        <c:noMultiLvlLbl val="0"/>
      </c:catAx>
      <c:valAx>
        <c:axId val="8607368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36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new.xlsx]Sheet1!PivotTable5</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gradFill>
              <a:gsLst>
                <a:gs pos="55000">
                  <a:srgbClr val="126462"/>
                </a:gs>
                <a:gs pos="32000">
                  <a:srgbClr val="188C89"/>
                </a:gs>
                <a:gs pos="100000">
                  <a:srgbClr val="2C6784"/>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gradFill>
              <a:gsLst>
                <a:gs pos="24000">
                  <a:srgbClr val="24556D"/>
                </a:gs>
                <a:gs pos="100000">
                  <a:srgbClr val="177F7D"/>
                </a:gs>
                <a:gs pos="0">
                  <a:srgbClr val="20B2AF"/>
                </a:gs>
                <a:gs pos="36000">
                  <a:srgbClr val="215D70"/>
                </a:gs>
                <a:gs pos="54000">
                  <a:srgbClr val="1D4457"/>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1944444444444"/>
          <c:y val="0.25144799054373523"/>
          <c:w val="0.84373976608187129"/>
          <c:h val="0.59798995271867617"/>
        </c:manualLayout>
      </c:layout>
      <c:lineChart>
        <c:grouping val="standard"/>
        <c:varyColors val="0"/>
        <c:ser>
          <c:idx val="0"/>
          <c:order val="0"/>
          <c:tx>
            <c:strRef>
              <c:f>Sheet1!$B$73</c:f>
              <c:strCache>
                <c:ptCount val="1"/>
                <c:pt idx="0">
                  <c:v>Total</c:v>
                </c:pt>
              </c:strCache>
            </c:strRef>
          </c:tx>
          <c:spPr>
            <a:ln w="28575" cap="rnd">
              <a:gradFill>
                <a:gsLst>
                  <a:gs pos="24000">
                    <a:srgbClr val="24556D"/>
                  </a:gs>
                  <a:gs pos="100000">
                    <a:srgbClr val="177F7D"/>
                  </a:gs>
                  <a:gs pos="0">
                    <a:srgbClr val="20B2AF"/>
                  </a:gs>
                  <a:gs pos="36000">
                    <a:srgbClr val="215D70"/>
                  </a:gs>
                  <a:gs pos="54000">
                    <a:srgbClr val="1D4457"/>
                  </a:gs>
                </a:gsLst>
                <a:lin ang="5400000" scaled="1"/>
              </a:gradFill>
              <a:round/>
            </a:ln>
            <a:effectLst/>
          </c:spPr>
          <c:marker>
            <c:symbol val="none"/>
          </c:marker>
          <c:cat>
            <c:strRef>
              <c:f>Sheet1!$A$74:$A$80</c:f>
              <c:strCache>
                <c:ptCount val="6"/>
                <c:pt idx="0">
                  <c:v>0</c:v>
                </c:pt>
                <c:pt idx="1">
                  <c:v>1</c:v>
                </c:pt>
                <c:pt idx="2">
                  <c:v>2</c:v>
                </c:pt>
                <c:pt idx="3">
                  <c:v>3</c:v>
                </c:pt>
                <c:pt idx="4">
                  <c:v>4</c:v>
                </c:pt>
                <c:pt idx="5">
                  <c:v>5</c:v>
                </c:pt>
              </c:strCache>
            </c:strRef>
          </c:cat>
          <c:val>
            <c:numRef>
              <c:f>Sheet1!$B$74:$B$80</c:f>
              <c:numCache>
                <c:formatCode>0</c:formatCode>
                <c:ptCount val="6"/>
                <c:pt idx="0">
                  <c:v>12337.080032144848</c:v>
                </c:pt>
                <c:pt idx="1">
                  <c:v>12780.993262676913</c:v>
                </c:pt>
                <c:pt idx="2">
                  <c:v>15073.563733958328</c:v>
                </c:pt>
                <c:pt idx="3">
                  <c:v>15355.31836681528</c:v>
                </c:pt>
                <c:pt idx="4">
                  <c:v>13850.656311199999</c:v>
                </c:pt>
                <c:pt idx="5">
                  <c:v>8786.0352472222221</c:v>
                </c:pt>
              </c:numCache>
            </c:numRef>
          </c:val>
          <c:smooth val="0"/>
          <c:extLst>
            <c:ext xmlns:c16="http://schemas.microsoft.com/office/drawing/2014/chart" uri="{C3380CC4-5D6E-409C-BE32-E72D297353CC}">
              <c16:uniqueId val="{00000005-8B02-4B1B-A831-13E29CFF1FC0}"/>
            </c:ext>
          </c:extLst>
        </c:ser>
        <c:dLbls>
          <c:showLegendKey val="0"/>
          <c:showVal val="0"/>
          <c:showCatName val="0"/>
          <c:showSerName val="0"/>
          <c:showPercent val="0"/>
          <c:showBubbleSize val="0"/>
        </c:dLbls>
        <c:smooth val="0"/>
        <c:axId val="895275855"/>
        <c:axId val="860719567"/>
      </c:lineChart>
      <c:catAx>
        <c:axId val="89527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19567"/>
        <c:crosses val="autoZero"/>
        <c:auto val="1"/>
        <c:lblAlgn val="ctr"/>
        <c:lblOffset val="100"/>
        <c:noMultiLvlLbl val="0"/>
      </c:catAx>
      <c:valAx>
        <c:axId val="8607195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27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2C6784"/>
          </a:solidFill>
          <a:ln w="19050">
            <a:solidFill>
              <a:schemeClr val="lt1"/>
            </a:solidFill>
          </a:ln>
          <a:effectLst/>
        </c:spPr>
        <c:dLbl>
          <c:idx val="0"/>
          <c:layout>
            <c:manualLayout>
              <c:x val="5.879629629629618E-2"/>
              <c:y val="-3.75295508274232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204C62"/>
          </a:solidFill>
          <a:ln w="19050">
            <a:solidFill>
              <a:schemeClr val="lt1"/>
            </a:solidFill>
          </a:ln>
          <a:effectLst/>
        </c:spPr>
        <c:dLbl>
          <c:idx val="0"/>
          <c:layout>
            <c:manualLayout>
              <c:x val="6.4985380116959063E-2"/>
              <c:y val="4.87884160756501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177F7D"/>
          </a:solidFill>
          <a:ln w="19050">
            <a:solidFill>
              <a:schemeClr val="lt1"/>
            </a:solidFill>
          </a:ln>
          <a:effectLst/>
        </c:spPr>
        <c:dLbl>
          <c:idx val="0"/>
          <c:layout>
            <c:manualLayout>
              <c:x val="-6.4985380116959091E-2"/>
              <c:y val="2.6270685579196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20B2AF"/>
          </a:solidFill>
          <a:ln w="19050">
            <a:solidFill>
              <a:schemeClr val="lt1"/>
            </a:solidFill>
          </a:ln>
          <a:effectLst/>
        </c:spPr>
        <c:dLbl>
          <c:idx val="0"/>
          <c:layout>
            <c:manualLayout>
              <c:x val="-4.9512670565302147E-2"/>
              <c:y val="-4.50354609929078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2943469785575"/>
          <c:y val="0.30315839243498821"/>
          <c:w val="0.48243786549707596"/>
          <c:h val="0.58508421985815595"/>
        </c:manualLayout>
      </c:layout>
      <c:doughnutChart>
        <c:varyColors val="1"/>
        <c:ser>
          <c:idx val="0"/>
          <c:order val="0"/>
          <c:tx>
            <c:strRef>
              <c:f>Sheet1!$B$93</c:f>
              <c:strCache>
                <c:ptCount val="1"/>
                <c:pt idx="0">
                  <c:v>Total</c:v>
                </c:pt>
              </c:strCache>
            </c:strRef>
          </c:tx>
          <c:explosion val="1"/>
          <c:dPt>
            <c:idx val="0"/>
            <c:bubble3D val="0"/>
            <c:spPr>
              <a:solidFill>
                <a:srgbClr val="2C6784"/>
              </a:solidFill>
              <a:ln w="19050">
                <a:solidFill>
                  <a:schemeClr val="lt1"/>
                </a:solidFill>
              </a:ln>
              <a:effectLst/>
            </c:spPr>
            <c:extLst>
              <c:ext xmlns:c16="http://schemas.microsoft.com/office/drawing/2014/chart" uri="{C3380CC4-5D6E-409C-BE32-E72D297353CC}">
                <c16:uniqueId val="{00000001-89AC-4F59-9EF1-225E9CEAE63C}"/>
              </c:ext>
            </c:extLst>
          </c:dPt>
          <c:dPt>
            <c:idx val="1"/>
            <c:bubble3D val="0"/>
            <c:spPr>
              <a:solidFill>
                <a:srgbClr val="204C62"/>
              </a:solidFill>
              <a:ln w="19050">
                <a:solidFill>
                  <a:schemeClr val="lt1"/>
                </a:solidFill>
              </a:ln>
              <a:effectLst/>
            </c:spPr>
            <c:extLst>
              <c:ext xmlns:c16="http://schemas.microsoft.com/office/drawing/2014/chart" uri="{C3380CC4-5D6E-409C-BE32-E72D297353CC}">
                <c16:uniqueId val="{00000003-89AC-4F59-9EF1-225E9CEAE63C}"/>
              </c:ext>
            </c:extLst>
          </c:dPt>
          <c:dPt>
            <c:idx val="2"/>
            <c:bubble3D val="0"/>
            <c:spPr>
              <a:solidFill>
                <a:srgbClr val="177F7D"/>
              </a:solidFill>
              <a:ln w="19050">
                <a:solidFill>
                  <a:schemeClr val="lt1"/>
                </a:solidFill>
              </a:ln>
              <a:effectLst/>
            </c:spPr>
            <c:extLst>
              <c:ext xmlns:c16="http://schemas.microsoft.com/office/drawing/2014/chart" uri="{C3380CC4-5D6E-409C-BE32-E72D297353CC}">
                <c16:uniqueId val="{00000005-89AC-4F59-9EF1-225E9CEAE63C}"/>
              </c:ext>
            </c:extLst>
          </c:dPt>
          <c:dPt>
            <c:idx val="3"/>
            <c:bubble3D val="0"/>
            <c:spPr>
              <a:solidFill>
                <a:srgbClr val="20B2AF"/>
              </a:solidFill>
              <a:ln w="19050">
                <a:solidFill>
                  <a:schemeClr val="lt1"/>
                </a:solidFill>
              </a:ln>
              <a:effectLst/>
            </c:spPr>
            <c:extLst>
              <c:ext xmlns:c16="http://schemas.microsoft.com/office/drawing/2014/chart" uri="{C3380CC4-5D6E-409C-BE32-E72D297353CC}">
                <c16:uniqueId val="{00000007-89AC-4F59-9EF1-225E9CEAE63C}"/>
              </c:ext>
            </c:extLst>
          </c:dPt>
          <c:dLbls>
            <c:dLbl>
              <c:idx val="0"/>
              <c:layout>
                <c:manualLayout>
                  <c:x val="5.879629629629618E-2"/>
                  <c:y val="-3.752955082742323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AC-4F59-9EF1-225E9CEAE63C}"/>
                </c:ext>
              </c:extLst>
            </c:dLbl>
            <c:dLbl>
              <c:idx val="1"/>
              <c:layout>
                <c:manualLayout>
                  <c:x val="6.4985380116959063E-2"/>
                  <c:y val="4.878841607565011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AC-4F59-9EF1-225E9CEAE63C}"/>
                </c:ext>
              </c:extLst>
            </c:dLbl>
            <c:dLbl>
              <c:idx val="2"/>
              <c:layout>
                <c:manualLayout>
                  <c:x val="-6.4985380116959091E-2"/>
                  <c:y val="2.62706855791960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9AC-4F59-9EF1-225E9CEAE63C}"/>
                </c:ext>
              </c:extLst>
            </c:dLbl>
            <c:dLbl>
              <c:idx val="3"/>
              <c:layout>
                <c:manualLayout>
                  <c:x val="-4.9512670565302147E-2"/>
                  <c:y val="-4.503546099290780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9AC-4F59-9EF1-225E9CEAE6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Sheet1!$A$94:$A$98</c:f>
              <c:strCache>
                <c:ptCount val="4"/>
                <c:pt idx="0">
                  <c:v>Daily</c:v>
                </c:pt>
                <c:pt idx="1">
                  <c:v>Never</c:v>
                </c:pt>
                <c:pt idx="2">
                  <c:v>Rarely</c:v>
                </c:pt>
                <c:pt idx="3">
                  <c:v>Weekly</c:v>
                </c:pt>
              </c:strCache>
            </c:strRef>
          </c:cat>
          <c:val>
            <c:numRef>
              <c:f>Sheet1!$B$94:$B$98</c:f>
              <c:numCache>
                <c:formatCode>General</c:formatCode>
                <c:ptCount val="4"/>
                <c:pt idx="0">
                  <c:v>349</c:v>
                </c:pt>
                <c:pt idx="1">
                  <c:v>303</c:v>
                </c:pt>
                <c:pt idx="2">
                  <c:v>334</c:v>
                </c:pt>
                <c:pt idx="3">
                  <c:v>352</c:v>
                </c:pt>
              </c:numCache>
            </c:numRef>
          </c:val>
          <c:extLst>
            <c:ext xmlns:c16="http://schemas.microsoft.com/office/drawing/2014/chart" uri="{C3380CC4-5D6E-409C-BE32-E72D297353CC}">
              <c16:uniqueId val="{00000008-89AC-4F59-9EF1-225E9CEAE63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4FD1C5">
                  <a:lumMod val="0"/>
                  <a:lumOff val="100000"/>
                  <a:alpha val="0"/>
                </a:srgbClr>
              </a:gs>
              <a:gs pos="16000">
                <a:srgbClr val="24556D"/>
              </a:gs>
              <a:gs pos="100000">
                <a:srgbClr val="1DA1A1"/>
              </a:gs>
            </a:gsLst>
            <a:path path="circle">
              <a:fillToRect l="50000" t="130000" r="50000" b="-30000"/>
            </a:path>
          </a:gradFill>
          <a:ln>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0545808966862"/>
          <c:y val="0.24626388888888892"/>
          <c:w val="0.84170784600389859"/>
          <c:h val="0.64563268321513001"/>
        </c:manualLayout>
      </c:layout>
      <c:barChart>
        <c:barDir val="col"/>
        <c:grouping val="clustered"/>
        <c:varyColors val="0"/>
        <c:ser>
          <c:idx val="0"/>
          <c:order val="0"/>
          <c:tx>
            <c:strRef>
              <c:f>Sheet1!$B$18</c:f>
              <c:strCache>
                <c:ptCount val="1"/>
                <c:pt idx="0">
                  <c:v>Total</c:v>
                </c:pt>
              </c:strCache>
            </c:strRef>
          </c:tx>
          <c:spPr>
            <a:gradFill>
              <a:gsLst>
                <a:gs pos="0">
                  <a:srgbClr val="4FD1C5">
                    <a:lumMod val="0"/>
                    <a:lumOff val="100000"/>
                    <a:alpha val="0"/>
                  </a:srgbClr>
                </a:gs>
                <a:gs pos="16000">
                  <a:srgbClr val="24556D"/>
                </a:gs>
                <a:gs pos="100000">
                  <a:srgbClr val="1DA1A1"/>
                </a:gs>
              </a:gsLst>
              <a:path path="circle">
                <a:fillToRect l="50000" t="130000" r="50000" b="-30000"/>
              </a:path>
            </a:gradFill>
            <a:ln>
              <a:solidFill>
                <a:schemeClr val="accent1">
                  <a:shade val="15000"/>
                </a:schemeClr>
              </a:solidFill>
            </a:ln>
            <a:effectLst/>
          </c:spPr>
          <c:invertIfNegative val="0"/>
          <c:cat>
            <c:strRef>
              <c:f>Sheet1!$A$19:$A$22</c:f>
              <c:strCache>
                <c:ptCount val="3"/>
                <c:pt idx="0">
                  <c:v>Adult</c:v>
                </c:pt>
                <c:pt idx="1">
                  <c:v>Senior</c:v>
                </c:pt>
                <c:pt idx="2">
                  <c:v>Young</c:v>
                </c:pt>
              </c:strCache>
            </c:strRef>
          </c:cat>
          <c:val>
            <c:numRef>
              <c:f>Sheet1!$B$19:$B$22</c:f>
              <c:numCache>
                <c:formatCode>0</c:formatCode>
                <c:ptCount val="3"/>
                <c:pt idx="0">
                  <c:v>13233.744260070667</c:v>
                </c:pt>
                <c:pt idx="1">
                  <c:v>18084.987222949429</c:v>
                </c:pt>
                <c:pt idx="2">
                  <c:v>9200.1689619927838</c:v>
                </c:pt>
              </c:numCache>
            </c:numRef>
          </c:val>
          <c:extLst>
            <c:ext xmlns:c16="http://schemas.microsoft.com/office/drawing/2014/chart" uri="{C3380CC4-5D6E-409C-BE32-E72D297353CC}">
              <c16:uniqueId val="{00000000-EF5B-4511-8E50-2D8EED015C38}"/>
            </c:ext>
          </c:extLst>
        </c:ser>
        <c:dLbls>
          <c:showLegendKey val="0"/>
          <c:showVal val="0"/>
          <c:showCatName val="0"/>
          <c:showSerName val="0"/>
          <c:showPercent val="0"/>
          <c:showBubbleSize val="0"/>
        </c:dLbls>
        <c:gapWidth val="219"/>
        <c:overlap val="-27"/>
        <c:axId val="114154847"/>
        <c:axId val="860730607"/>
      </c:barChart>
      <c:catAx>
        <c:axId val="11415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0730607"/>
        <c:crosses val="autoZero"/>
        <c:auto val="1"/>
        <c:lblAlgn val="ctr"/>
        <c:lblOffset val="100"/>
        <c:noMultiLvlLbl val="0"/>
      </c:catAx>
      <c:valAx>
        <c:axId val="8607306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15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2C6784"/>
          </a:solidFill>
          <a:ln w="19050">
            <a:noFill/>
          </a:ln>
          <a:effectLst/>
        </c:spPr>
      </c:pivotFmt>
      <c:pivotFmt>
        <c:idx val="12"/>
        <c:spPr>
          <a:solidFill>
            <a:srgbClr val="204C62"/>
          </a:solidFill>
          <a:ln w="19050">
            <a:noFill/>
          </a:ln>
          <a:effectLst/>
        </c:spPr>
      </c:pivotFmt>
      <c:pivotFmt>
        <c:idx val="13"/>
        <c:spPr>
          <a:solidFill>
            <a:srgbClr val="177F7D"/>
          </a:solidFill>
          <a:ln w="19050">
            <a:noFill/>
          </a:ln>
          <a:effectLst/>
        </c:spPr>
      </c:pivotFmt>
      <c:pivotFmt>
        <c:idx val="14"/>
        <c:spPr>
          <a:solidFill>
            <a:srgbClr val="20B2AF"/>
          </a:solidFill>
          <a:ln w="19050">
            <a:no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2C6784"/>
          </a:solidFill>
          <a:ln w="19050">
            <a:solidFill>
              <a:schemeClr val="lt1"/>
            </a:solidFill>
          </a:ln>
          <a:effectLst/>
        </c:spPr>
        <c:dLbl>
          <c:idx val="0"/>
          <c:layout>
            <c:manualLayout>
              <c:x val="-2.1661793372319688E-2"/>
              <c:y val="-7.88288288288288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177F7D"/>
          </a:solidFill>
          <a:ln w="19050">
            <a:solidFill>
              <a:schemeClr val="lt1"/>
            </a:solidFill>
          </a:ln>
          <a:effectLst/>
        </c:spPr>
        <c:dLbl>
          <c:idx val="0"/>
          <c:layout>
            <c:manualLayout>
              <c:x val="1.85672514619882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solidFill>
            <a:srgbClr val="20B2AF"/>
          </a:solidFill>
          <a:ln w="19050">
            <a:solidFill>
              <a:schemeClr val="lt1"/>
            </a:solidFill>
          </a:ln>
          <a:effectLst/>
        </c:spPr>
      </c:pivotFmt>
    </c:pivotFmts>
    <c:plotArea>
      <c:layout>
        <c:manualLayout>
          <c:layoutTarget val="inner"/>
          <c:xMode val="edge"/>
          <c:yMode val="edge"/>
          <c:x val="0.21073976608187134"/>
          <c:y val="0.31021021021021022"/>
          <c:w val="0.46477534113060431"/>
          <c:h val="0.56378366555531911"/>
        </c:manualLayout>
      </c:layout>
      <c:pieChart>
        <c:varyColors val="1"/>
        <c:ser>
          <c:idx val="0"/>
          <c:order val="0"/>
          <c:tx>
            <c:strRef>
              <c:f>Sheet1!$B$3</c:f>
              <c:strCache>
                <c:ptCount val="1"/>
                <c:pt idx="0">
                  <c:v>Total</c:v>
                </c:pt>
              </c:strCache>
            </c:strRef>
          </c:tx>
          <c:dPt>
            <c:idx val="0"/>
            <c:bubble3D val="0"/>
            <c:spPr>
              <a:solidFill>
                <a:srgbClr val="2C6784"/>
              </a:solidFill>
              <a:ln w="19050">
                <a:solidFill>
                  <a:schemeClr val="lt1"/>
                </a:solidFill>
              </a:ln>
              <a:effectLst/>
            </c:spPr>
            <c:extLst>
              <c:ext xmlns:c16="http://schemas.microsoft.com/office/drawing/2014/chart" uri="{C3380CC4-5D6E-409C-BE32-E72D297353CC}">
                <c16:uniqueId val="{00000010-C2FB-4E92-B022-5A144B2DE047}"/>
              </c:ext>
            </c:extLst>
          </c:dPt>
          <c:dPt>
            <c:idx val="1"/>
            <c:bubble3D val="0"/>
            <c:spPr>
              <a:solidFill>
                <a:srgbClr val="177F7D"/>
              </a:solidFill>
              <a:ln w="19050">
                <a:solidFill>
                  <a:schemeClr val="lt1"/>
                </a:solidFill>
              </a:ln>
              <a:effectLst/>
            </c:spPr>
            <c:extLst>
              <c:ext xmlns:c16="http://schemas.microsoft.com/office/drawing/2014/chart" uri="{C3380CC4-5D6E-409C-BE32-E72D297353CC}">
                <c16:uniqueId val="{00000011-C2FB-4E92-B022-5A144B2DE047}"/>
              </c:ext>
            </c:extLst>
          </c:dPt>
          <c:dPt>
            <c:idx val="2"/>
            <c:bubble3D val="0"/>
            <c:spPr>
              <a:solidFill>
                <a:srgbClr val="20B2AF"/>
              </a:solidFill>
              <a:ln w="19050">
                <a:solidFill>
                  <a:schemeClr val="lt1"/>
                </a:solidFill>
              </a:ln>
              <a:effectLst/>
            </c:spPr>
            <c:extLst>
              <c:ext xmlns:c16="http://schemas.microsoft.com/office/drawing/2014/chart" uri="{C3380CC4-5D6E-409C-BE32-E72D297353CC}">
                <c16:uniqueId val="{00000012-C2FB-4E92-B022-5A144B2DE047}"/>
              </c:ext>
            </c:extLst>
          </c:dPt>
          <c:dLbls>
            <c:dLbl>
              <c:idx val="0"/>
              <c:layout>
                <c:manualLayout>
                  <c:x val="-2.1661793372319688E-2"/>
                  <c:y val="-7.882882882882889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C2FB-4E92-B022-5A144B2DE047}"/>
                </c:ext>
              </c:extLst>
            </c:dLbl>
            <c:dLbl>
              <c:idx val="1"/>
              <c:layout>
                <c:manualLayout>
                  <c:x val="1.8567251461988246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C2FB-4E92-B022-5A144B2DE0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Sheet1!$A$4:$A$7</c:f>
              <c:strCache>
                <c:ptCount val="3"/>
                <c:pt idx="0">
                  <c:v>Adult</c:v>
                </c:pt>
                <c:pt idx="1">
                  <c:v>Senior</c:v>
                </c:pt>
                <c:pt idx="2">
                  <c:v>Young</c:v>
                </c:pt>
              </c:strCache>
            </c:strRef>
          </c:cat>
          <c:val>
            <c:numRef>
              <c:f>Sheet1!$B$4:$B$7</c:f>
              <c:numCache>
                <c:formatCode>General</c:formatCode>
                <c:ptCount val="3"/>
                <c:pt idx="0">
                  <c:v>566</c:v>
                </c:pt>
                <c:pt idx="1">
                  <c:v>356</c:v>
                </c:pt>
                <c:pt idx="2">
                  <c:v>416</c:v>
                </c:pt>
              </c:numCache>
            </c:numRef>
          </c:val>
          <c:extLst>
            <c:ext xmlns:c16="http://schemas.microsoft.com/office/drawing/2014/chart" uri="{C3380CC4-5D6E-409C-BE32-E72D297353CC}">
              <c16:uniqueId val="{0000000C-C2FB-4E92-B022-5A144B2DE047}"/>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23536B"/>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[health_insurance_cost_and_risk_dataset copy (1) new.xlsx]Sheet1!PivotTable3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24556D"/>
              </a:gs>
              <a:gs pos="26000">
                <a:srgbClr val="24556D"/>
              </a:gs>
              <a:gs pos="100000">
                <a:srgbClr val="1DA1A1"/>
              </a:gs>
              <a:gs pos="100000">
                <a:srgbClr val="24556D"/>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3252242007228"/>
          <c:y val="0.23946170580028847"/>
          <c:w val="0.86615132889010438"/>
          <c:h val="0.64482514010073066"/>
        </c:manualLayout>
      </c:layout>
      <c:barChart>
        <c:barDir val="col"/>
        <c:grouping val="clustered"/>
        <c:varyColors val="0"/>
        <c:ser>
          <c:idx val="0"/>
          <c:order val="0"/>
          <c:tx>
            <c:strRef>
              <c:f>Sheet1!$B$36</c:f>
              <c:strCache>
                <c:ptCount val="1"/>
                <c:pt idx="0">
                  <c:v>Total</c:v>
                </c:pt>
              </c:strCache>
            </c:strRef>
          </c:tx>
          <c:spPr>
            <a:gradFill>
              <a:gsLst>
                <a:gs pos="0">
                  <a:srgbClr val="24556D"/>
                </a:gs>
                <a:gs pos="26000">
                  <a:srgbClr val="24556D"/>
                </a:gs>
                <a:gs pos="100000">
                  <a:srgbClr val="1DA1A1"/>
                </a:gs>
                <a:gs pos="100000">
                  <a:srgbClr val="24556D"/>
                </a:gs>
              </a:gsLst>
              <a:lin ang="5400000" scaled="1"/>
            </a:gradFill>
            <a:ln w="25400">
              <a:noFill/>
            </a:ln>
            <a:effectLst/>
          </c:spPr>
          <c:invertIfNegative val="0"/>
          <c:cat>
            <c:strRef>
              <c:f>Sheet1!$A$37:$A$40</c:f>
              <c:strCache>
                <c:ptCount val="3"/>
                <c:pt idx="0">
                  <c:v>Adult</c:v>
                </c:pt>
                <c:pt idx="1">
                  <c:v>Senior</c:v>
                </c:pt>
                <c:pt idx="2">
                  <c:v>Young</c:v>
                </c:pt>
              </c:strCache>
            </c:strRef>
          </c:cat>
          <c:val>
            <c:numRef>
              <c:f>Sheet1!$B$37:$B$40</c:f>
              <c:numCache>
                <c:formatCode>0</c:formatCode>
                <c:ptCount val="3"/>
                <c:pt idx="0">
                  <c:v>30.61712014134277</c:v>
                </c:pt>
                <c:pt idx="1">
                  <c:v>31.706797752808974</c:v>
                </c:pt>
                <c:pt idx="2">
                  <c:v>29.836646634615388</c:v>
                </c:pt>
              </c:numCache>
            </c:numRef>
          </c:val>
          <c:extLst>
            <c:ext xmlns:c16="http://schemas.microsoft.com/office/drawing/2014/chart" uri="{C3380CC4-5D6E-409C-BE32-E72D297353CC}">
              <c16:uniqueId val="{00000000-FB42-448A-9AAA-EDE92C02C14C}"/>
            </c:ext>
          </c:extLst>
        </c:ser>
        <c:dLbls>
          <c:showLegendKey val="0"/>
          <c:showVal val="0"/>
          <c:showCatName val="0"/>
          <c:showSerName val="0"/>
          <c:showPercent val="0"/>
          <c:showBubbleSize val="0"/>
        </c:dLbls>
        <c:gapWidth val="150"/>
        <c:axId val="114159023"/>
        <c:axId val="860758447"/>
      </c:barChart>
      <c:catAx>
        <c:axId val="114159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758447"/>
        <c:crosses val="autoZero"/>
        <c:auto val="1"/>
        <c:lblAlgn val="ctr"/>
        <c:lblOffset val="100"/>
        <c:noMultiLvlLbl val="0"/>
      </c:catAx>
      <c:valAx>
        <c:axId val="8607584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5902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9.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8.xml"/><Relationship Id="rId16" Type="http://schemas.openxmlformats.org/officeDocument/2006/relationships/chart" Target="../charts/chart12.xml"/><Relationship Id="rId1" Type="http://schemas.openxmlformats.org/officeDocument/2006/relationships/chart" Target="../charts/chart7.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chart" Target="../charts/chart11.xml"/><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7620</xdr:rowOff>
    </xdr:from>
    <xdr:to>
      <xdr:col>8</xdr:col>
      <xdr:colOff>563880</xdr:colOff>
      <xdr:row>14</xdr:row>
      <xdr:rowOff>0</xdr:rowOff>
    </xdr:to>
    <xdr:graphicFrame macro="">
      <xdr:nvGraphicFramePr>
        <xdr:cNvPr id="2" name="Chart 1">
          <a:extLst>
            <a:ext uri="{FF2B5EF4-FFF2-40B4-BE49-F238E27FC236}">
              <a16:creationId xmlns:a16="http://schemas.microsoft.com/office/drawing/2014/main" id="{42159799-8C0C-2207-00B9-3D8D8D793C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7620</xdr:rowOff>
    </xdr:from>
    <xdr:to>
      <xdr:col>10</xdr:col>
      <xdr:colOff>160020</xdr:colOff>
      <xdr:row>31</xdr:row>
      <xdr:rowOff>76200</xdr:rowOff>
    </xdr:to>
    <xdr:graphicFrame macro="">
      <xdr:nvGraphicFramePr>
        <xdr:cNvPr id="3" name="Chart 2">
          <a:extLst>
            <a:ext uri="{FF2B5EF4-FFF2-40B4-BE49-F238E27FC236}">
              <a16:creationId xmlns:a16="http://schemas.microsoft.com/office/drawing/2014/main" id="{01AB82FF-E1FC-C139-927D-378DD2A70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259080</xdr:colOff>
      <xdr:row>34</xdr:row>
      <xdr:rowOff>167640</xdr:rowOff>
    </xdr:from>
    <xdr:to>
      <xdr:col>11</xdr:col>
      <xdr:colOff>7620</xdr:colOff>
      <xdr:row>48</xdr:row>
      <xdr:rowOff>144780</xdr:rowOff>
    </xdr:to>
    <xdr:graphicFrame macro="">
      <xdr:nvGraphicFramePr>
        <xdr:cNvPr id="4" name="Chart 3">
          <a:extLst>
            <a:ext uri="{FF2B5EF4-FFF2-40B4-BE49-F238E27FC236}">
              <a16:creationId xmlns:a16="http://schemas.microsoft.com/office/drawing/2014/main" id="{A626C03F-A06B-00D4-A3FD-EDDB6E012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xdr:colOff>
      <xdr:row>53</xdr:row>
      <xdr:rowOff>7620</xdr:rowOff>
    </xdr:from>
    <xdr:to>
      <xdr:col>9</xdr:col>
      <xdr:colOff>266700</xdr:colOff>
      <xdr:row>66</xdr:row>
      <xdr:rowOff>22860</xdr:rowOff>
    </xdr:to>
    <xdr:graphicFrame macro="">
      <xdr:nvGraphicFramePr>
        <xdr:cNvPr id="5" name="Chart 4">
          <a:extLst>
            <a:ext uri="{FF2B5EF4-FFF2-40B4-BE49-F238E27FC236}">
              <a16:creationId xmlns:a16="http://schemas.microsoft.com/office/drawing/2014/main" id="{BB6EEBD8-7F37-9F58-E505-510AA4C16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xdr:colOff>
      <xdr:row>72</xdr:row>
      <xdr:rowOff>7620</xdr:rowOff>
    </xdr:from>
    <xdr:to>
      <xdr:col>10</xdr:col>
      <xdr:colOff>22860</xdr:colOff>
      <xdr:row>86</xdr:row>
      <xdr:rowOff>38100</xdr:rowOff>
    </xdr:to>
    <xdr:graphicFrame macro="">
      <xdr:nvGraphicFramePr>
        <xdr:cNvPr id="6" name="Chart 5">
          <a:extLst>
            <a:ext uri="{FF2B5EF4-FFF2-40B4-BE49-F238E27FC236}">
              <a16:creationId xmlns:a16="http://schemas.microsoft.com/office/drawing/2014/main" id="{8B5EEB3C-CAE6-C6C8-C757-97C71BA40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15240</xdr:colOff>
      <xdr:row>92</xdr:row>
      <xdr:rowOff>0</xdr:rowOff>
    </xdr:from>
    <xdr:to>
      <xdr:col>9</xdr:col>
      <xdr:colOff>121920</xdr:colOff>
      <xdr:row>103</xdr:row>
      <xdr:rowOff>144780</xdr:rowOff>
    </xdr:to>
    <xdr:graphicFrame macro="">
      <xdr:nvGraphicFramePr>
        <xdr:cNvPr id="7" name="Chart 6">
          <a:extLst>
            <a:ext uri="{FF2B5EF4-FFF2-40B4-BE49-F238E27FC236}">
              <a16:creationId xmlns:a16="http://schemas.microsoft.com/office/drawing/2014/main" id="{1FCA8405-02D3-03F9-156C-3F29332613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365760</xdr:colOff>
      <xdr:row>2</xdr:row>
      <xdr:rowOff>7621</xdr:rowOff>
    </xdr:from>
    <xdr:to>
      <xdr:col>12</xdr:col>
      <xdr:colOff>365760</xdr:colOff>
      <xdr:row>8</xdr:row>
      <xdr:rowOff>160021</xdr:rowOff>
    </xdr:to>
    <mc:AlternateContent xmlns:mc="http://schemas.openxmlformats.org/markup-compatibility/2006" xmlns:a14="http://schemas.microsoft.com/office/drawing/2010/main">
      <mc:Choice Requires="a14">
        <xdr:graphicFrame macro="">
          <xdr:nvGraphicFramePr>
            <xdr:cNvPr id="8" name="Age Category">
              <a:extLst>
                <a:ext uri="{FF2B5EF4-FFF2-40B4-BE49-F238E27FC236}">
                  <a16:creationId xmlns:a16="http://schemas.microsoft.com/office/drawing/2014/main" id="{8B1C0BD9-82D7-19EA-3629-E316988F6E0C}"/>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6248400" y="37338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xdr:colOff>
      <xdr:row>1</xdr:row>
      <xdr:rowOff>175261</xdr:rowOff>
    </xdr:from>
    <xdr:to>
      <xdr:col>16</xdr:col>
      <xdr:colOff>15240</xdr:colOff>
      <xdr:row>10</xdr:row>
      <xdr:rowOff>30481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6805A781-8BAD-45E0-0461-D9F44AAEE0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36280" y="35814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213360</xdr:colOff>
      <xdr:row>1</xdr:row>
      <xdr:rowOff>175261</xdr:rowOff>
    </xdr:from>
    <xdr:to>
      <xdr:col>19</xdr:col>
      <xdr:colOff>213360</xdr:colOff>
      <xdr:row>7</xdr:row>
      <xdr:rowOff>45721</xdr:rowOff>
    </xdr:to>
    <mc:AlternateContent xmlns:mc="http://schemas.openxmlformats.org/markup-compatibility/2006" xmlns:a14="http://schemas.microsoft.com/office/drawing/2010/main">
      <mc:Choice Requires="a14">
        <xdr:graphicFrame macro="">
          <xdr:nvGraphicFramePr>
            <xdr:cNvPr id="10" name="Sex">
              <a:extLst>
                <a:ext uri="{FF2B5EF4-FFF2-40B4-BE49-F238E27FC236}">
                  <a16:creationId xmlns:a16="http://schemas.microsoft.com/office/drawing/2014/main" id="{FAE0BC9F-9C13-CD91-7000-AA3A3AE32D8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0363200" y="35814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411480</xdr:colOff>
      <xdr:row>11</xdr:row>
      <xdr:rowOff>22861</xdr:rowOff>
    </xdr:from>
    <xdr:to>
      <xdr:col>13</xdr:col>
      <xdr:colOff>411480</xdr:colOff>
      <xdr:row>19</xdr:row>
      <xdr:rowOff>114301</xdr:rowOff>
    </xdr:to>
    <mc:AlternateContent xmlns:mc="http://schemas.openxmlformats.org/markup-compatibility/2006" xmlns:a14="http://schemas.microsoft.com/office/drawing/2010/main">
      <mc:Choice Requires="a14">
        <xdr:graphicFrame macro="">
          <xdr:nvGraphicFramePr>
            <xdr:cNvPr id="11" name="Exercise_frequency">
              <a:extLst>
                <a:ext uri="{FF2B5EF4-FFF2-40B4-BE49-F238E27FC236}">
                  <a16:creationId xmlns:a16="http://schemas.microsoft.com/office/drawing/2014/main" id="{39CC9543-2EEC-FD5C-AE50-EEC3F1BE5B5D}"/>
                </a:ext>
              </a:extLst>
            </xdr:cNvPr>
            <xdr:cNvGraphicFramePr/>
          </xdr:nvGraphicFramePr>
          <xdr:xfrm>
            <a:off x="0" y="0"/>
            <a:ext cx="0" cy="0"/>
          </xdr:xfrm>
          <a:graphic>
            <a:graphicData uri="http://schemas.microsoft.com/office/drawing/2010/slicer">
              <sle:slicer xmlns:sle="http://schemas.microsoft.com/office/drawing/2010/slicer" name="Exercise_frequency"/>
            </a:graphicData>
          </a:graphic>
        </xdr:graphicFrame>
      </mc:Choice>
      <mc:Fallback xmlns="">
        <xdr:sp macro="" textlink="">
          <xdr:nvSpPr>
            <xdr:cNvPr id="0" name=""/>
            <xdr:cNvSpPr>
              <a:spLocks noTextEdit="1"/>
            </xdr:cNvSpPr>
          </xdr:nvSpPr>
          <xdr:spPr>
            <a:xfrm>
              <a:off x="6903720" y="203454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525780</xdr:colOff>
      <xdr:row>11</xdr:row>
      <xdr:rowOff>7621</xdr:rowOff>
    </xdr:from>
    <xdr:to>
      <xdr:col>16</xdr:col>
      <xdr:colOff>525780</xdr:colOff>
      <xdr:row>16</xdr:row>
      <xdr:rowOff>45721</xdr:rowOff>
    </xdr:to>
    <mc:AlternateContent xmlns:mc="http://schemas.openxmlformats.org/markup-compatibility/2006" xmlns:a14="http://schemas.microsoft.com/office/drawing/2010/main">
      <mc:Choice Requires="a14">
        <xdr:graphicFrame macro="">
          <xdr:nvGraphicFramePr>
            <xdr:cNvPr id="12" name="Smoker">
              <a:extLst>
                <a:ext uri="{FF2B5EF4-FFF2-40B4-BE49-F238E27FC236}">
                  <a16:creationId xmlns:a16="http://schemas.microsoft.com/office/drawing/2014/main" id="{2D425120-F6CC-D803-F32D-6E8C282B6175}"/>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8846820" y="2019301"/>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121920</xdr:colOff>
      <xdr:row>10</xdr:row>
      <xdr:rowOff>175261</xdr:rowOff>
    </xdr:from>
    <xdr:to>
      <xdr:col>20</xdr:col>
      <xdr:colOff>121920</xdr:colOff>
      <xdr:row>17</xdr:row>
      <xdr:rowOff>160021</xdr:rowOff>
    </xdr:to>
    <mc:AlternateContent xmlns:mc="http://schemas.openxmlformats.org/markup-compatibility/2006" xmlns:a14="http://schemas.microsoft.com/office/drawing/2010/main">
      <mc:Choice Requires="a14">
        <xdr:graphicFrame macro="">
          <xdr:nvGraphicFramePr>
            <xdr:cNvPr id="13" name="Occupation_risk">
              <a:extLst>
                <a:ext uri="{FF2B5EF4-FFF2-40B4-BE49-F238E27FC236}">
                  <a16:creationId xmlns:a16="http://schemas.microsoft.com/office/drawing/2014/main" id="{F1483233-6AD2-7EC5-90CD-1FDE517ED836}"/>
                </a:ext>
              </a:extLst>
            </xdr:cNvPr>
            <xdr:cNvGraphicFramePr/>
          </xdr:nvGraphicFramePr>
          <xdr:xfrm>
            <a:off x="0" y="0"/>
            <a:ext cx="0" cy="0"/>
          </xdr:xfrm>
          <a:graphic>
            <a:graphicData uri="http://schemas.microsoft.com/office/drawing/2010/slicer">
              <sle:slicer xmlns:sle="http://schemas.microsoft.com/office/drawing/2010/slicer" name="Occupation_risk"/>
            </a:graphicData>
          </a:graphic>
        </xdr:graphicFrame>
      </mc:Choice>
      <mc:Fallback xmlns="">
        <xdr:sp macro="" textlink="">
          <xdr:nvSpPr>
            <xdr:cNvPr id="0" name=""/>
            <xdr:cNvSpPr>
              <a:spLocks noTextEdit="1"/>
            </xdr:cNvSpPr>
          </xdr:nvSpPr>
          <xdr:spPr>
            <a:xfrm>
              <a:off x="10881360" y="200406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15240</xdr:rowOff>
    </xdr:from>
    <xdr:to>
      <xdr:col>23</xdr:col>
      <xdr:colOff>175260</xdr:colOff>
      <xdr:row>4</xdr:row>
      <xdr:rowOff>106680</xdr:rowOff>
    </xdr:to>
    <xdr:sp macro="" textlink="">
      <xdr:nvSpPr>
        <xdr:cNvPr id="2" name="Rectangle: Rounded Corners 1">
          <a:extLst>
            <a:ext uri="{FF2B5EF4-FFF2-40B4-BE49-F238E27FC236}">
              <a16:creationId xmlns:a16="http://schemas.microsoft.com/office/drawing/2014/main" id="{B74640B8-D993-F3EE-11D2-BA4EFE1BF102}"/>
            </a:ext>
          </a:extLst>
        </xdr:cNvPr>
        <xdr:cNvSpPr/>
      </xdr:nvSpPr>
      <xdr:spPr>
        <a:xfrm>
          <a:off x="15240" y="15240"/>
          <a:ext cx="14180820" cy="822960"/>
        </a:xfrm>
        <a:prstGeom prst="roundRect">
          <a:avLst/>
        </a:prstGeom>
        <a:solidFill>
          <a:srgbClr val="193A4B"/>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Algerian" panose="04020705040A02060702" pitchFamily="82" charset="0"/>
            </a:rPr>
            <a:t>         </a:t>
          </a:r>
          <a:r>
            <a:rPr lang="en-IN" sz="2400" baseline="0">
              <a:latin typeface="Algerian" panose="04020705040A02060702" pitchFamily="82" charset="0"/>
            </a:rPr>
            <a:t> </a:t>
          </a:r>
          <a:r>
            <a:rPr lang="en-IN" sz="2400" b="1">
              <a:latin typeface="Calisto MT" panose="02040603050505030304" pitchFamily="18" charset="0"/>
            </a:rPr>
            <a:t>HEALTHCARE PERFORMANCE OVERVIEW</a:t>
          </a:r>
        </a:p>
        <a:p>
          <a:pPr algn="l"/>
          <a:r>
            <a:rPr lang="en-IN" sz="1400" b="1">
              <a:latin typeface="Calisto MT" panose="02040603050505030304" pitchFamily="18" charset="0"/>
            </a:rPr>
            <a:t>           </a:t>
          </a:r>
          <a:r>
            <a:rPr lang="en-IN" sz="1200" b="1">
              <a:latin typeface="Calisto MT" panose="02040603050505030304" pitchFamily="18" charset="0"/>
            </a:rPr>
            <a:t>  </a:t>
          </a:r>
          <a:r>
            <a:rPr lang="en-IN" sz="1200" b="0">
              <a:latin typeface="Calisto MT" panose="02040603050505030304" pitchFamily="18" charset="0"/>
            </a:rPr>
            <a:t>    </a:t>
          </a:r>
          <a:r>
            <a:rPr lang="en-IN" sz="1200" b="0" baseline="0">
              <a:latin typeface="Calisto MT" panose="02040603050505030304" pitchFamily="18" charset="0"/>
            </a:rPr>
            <a:t> </a:t>
          </a:r>
          <a:r>
            <a:rPr lang="en-IN" sz="1200" b="0">
              <a:latin typeface="Calisto MT" panose="02040603050505030304" pitchFamily="18" charset="0"/>
            </a:rPr>
            <a:t>Insights into patient demographics,lifestyle,occupation</a:t>
          </a:r>
          <a:r>
            <a:rPr lang="en-IN" sz="1200" b="0" baseline="0">
              <a:latin typeface="Calisto MT" panose="02040603050505030304" pitchFamily="18" charset="0"/>
            </a:rPr>
            <a:t> risk and financial factors impacting insurance charges.</a:t>
          </a:r>
          <a:endParaRPr lang="en-IN" sz="1200" b="0">
            <a:latin typeface="Calisto MT" panose="02040603050505030304" pitchFamily="18" charset="0"/>
          </a:endParaRPr>
        </a:p>
      </xdr:txBody>
    </xdr:sp>
    <xdr:clientData/>
  </xdr:twoCellAnchor>
  <xdr:twoCellAnchor>
    <xdr:from>
      <xdr:col>2</xdr:col>
      <xdr:colOff>579120</xdr:colOff>
      <xdr:row>4</xdr:row>
      <xdr:rowOff>144780</xdr:rowOff>
    </xdr:from>
    <xdr:to>
      <xdr:col>7</xdr:col>
      <xdr:colOff>483120</xdr:colOff>
      <xdr:row>9</xdr:row>
      <xdr:rowOff>60960</xdr:rowOff>
    </xdr:to>
    <xdr:sp macro="" textlink="">
      <xdr:nvSpPr>
        <xdr:cNvPr id="3" name="Rectangle: Rounded Corners 2">
          <a:extLst>
            <a:ext uri="{FF2B5EF4-FFF2-40B4-BE49-F238E27FC236}">
              <a16:creationId xmlns:a16="http://schemas.microsoft.com/office/drawing/2014/main" id="{0EB30C51-15C6-C5A9-37E9-8D03535F73E8}"/>
            </a:ext>
          </a:extLst>
        </xdr:cNvPr>
        <xdr:cNvSpPr/>
      </xdr:nvSpPr>
      <xdr:spPr>
        <a:xfrm>
          <a:off x="1798320" y="876300"/>
          <a:ext cx="2952000" cy="830580"/>
        </a:xfrm>
        <a:prstGeom prst="roundRect">
          <a:avLst/>
        </a:prstGeom>
        <a:gradFill>
          <a:gsLst>
            <a:gs pos="6000">
              <a:srgbClr val="207782"/>
            </a:gs>
            <a:gs pos="55000">
              <a:srgbClr val="188582">
                <a:alpha val="76000"/>
                <a:lumMod val="96000"/>
                <a:lumOff val="4000"/>
              </a:srgbClr>
            </a:gs>
            <a:gs pos="93000">
              <a:srgbClr val="255D75"/>
            </a:gs>
          </a:gsLst>
          <a:path path="circle">
            <a:fillToRect l="50000" t="130000" r="50000" b="-30000"/>
          </a:path>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Cambria Math" panose="02040503050406030204" pitchFamily="18" charset="0"/>
              <a:ea typeface="Cambria Math" panose="02040503050406030204" pitchFamily="18" charset="0"/>
            </a:rPr>
            <a:t>     </a:t>
          </a:r>
          <a:r>
            <a:rPr lang="en-IN" sz="1400">
              <a:latin typeface="Cambria Math" panose="02040503050406030204" pitchFamily="18" charset="0"/>
              <a:ea typeface="Cambria Math" panose="02040503050406030204" pitchFamily="18" charset="0"/>
            </a:rPr>
            <a:t> </a:t>
          </a:r>
          <a:r>
            <a:rPr lang="en-IN" sz="1400" b="1">
              <a:latin typeface="Cambria Math" panose="02040503050406030204" pitchFamily="18" charset="0"/>
              <a:ea typeface="Cambria Math" panose="02040503050406030204" pitchFamily="18" charset="0"/>
            </a:rPr>
            <a:t>  TOTAL PATIENTS</a:t>
          </a:r>
        </a:p>
      </xdr:txBody>
    </xdr:sp>
    <xdr:clientData/>
  </xdr:twoCellAnchor>
  <xdr:twoCellAnchor editAs="oneCell">
    <xdr:from>
      <xdr:col>0</xdr:col>
      <xdr:colOff>22860</xdr:colOff>
      <xdr:row>4</xdr:row>
      <xdr:rowOff>152400</xdr:rowOff>
    </xdr:from>
    <xdr:to>
      <xdr:col>2</xdr:col>
      <xdr:colOff>541020</xdr:colOff>
      <xdr:row>11</xdr:row>
      <xdr:rowOff>114300</xdr:rowOff>
    </xdr:to>
    <mc:AlternateContent xmlns:mc="http://schemas.openxmlformats.org/markup-compatibility/2006" xmlns:a14="http://schemas.microsoft.com/office/drawing/2010/main">
      <mc:Choice Requires="a14">
        <xdr:graphicFrame macro="">
          <xdr:nvGraphicFramePr>
            <xdr:cNvPr id="7" name="Age Category 1">
              <a:extLst>
                <a:ext uri="{FF2B5EF4-FFF2-40B4-BE49-F238E27FC236}">
                  <a16:creationId xmlns:a16="http://schemas.microsoft.com/office/drawing/2014/main" id="{B55E1CDB-5CD2-481B-BC59-619151F9745A}"/>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22860" y="883920"/>
              <a:ext cx="173736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11</xdr:row>
      <xdr:rowOff>152400</xdr:rowOff>
    </xdr:from>
    <xdr:to>
      <xdr:col>2</xdr:col>
      <xdr:colOff>548640</xdr:colOff>
      <xdr:row>20</xdr:row>
      <xdr:rowOff>7620</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1DE625B5-420D-4365-9859-3B784D2D03A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0480" y="2164080"/>
              <a:ext cx="173736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20</xdr:row>
      <xdr:rowOff>45720</xdr:rowOff>
    </xdr:from>
    <xdr:to>
      <xdr:col>2</xdr:col>
      <xdr:colOff>541020</xdr:colOff>
      <xdr:row>25</xdr:row>
      <xdr:rowOff>99060</xdr:rowOff>
    </xdr:to>
    <mc:AlternateContent xmlns:mc="http://schemas.openxmlformats.org/markup-compatibility/2006" xmlns:a14="http://schemas.microsoft.com/office/drawing/2010/main">
      <mc:Choice Requires="a14">
        <xdr:graphicFrame macro="">
          <xdr:nvGraphicFramePr>
            <xdr:cNvPr id="9" name="Sex 1">
              <a:extLst>
                <a:ext uri="{FF2B5EF4-FFF2-40B4-BE49-F238E27FC236}">
                  <a16:creationId xmlns:a16="http://schemas.microsoft.com/office/drawing/2014/main" id="{86EFE36E-054F-4E24-960B-C13EE807AAAD}"/>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22860" y="3703320"/>
              <a:ext cx="173736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25</xdr:row>
      <xdr:rowOff>152400</xdr:rowOff>
    </xdr:from>
    <xdr:to>
      <xdr:col>2</xdr:col>
      <xdr:colOff>541020</xdr:colOff>
      <xdr:row>34</xdr:row>
      <xdr:rowOff>60960</xdr:rowOff>
    </xdr:to>
    <mc:AlternateContent xmlns:mc="http://schemas.openxmlformats.org/markup-compatibility/2006" xmlns:a14="http://schemas.microsoft.com/office/drawing/2010/main">
      <mc:Choice Requires="a14">
        <xdr:graphicFrame macro="">
          <xdr:nvGraphicFramePr>
            <xdr:cNvPr id="10" name="Exercise_frequency 1">
              <a:extLst>
                <a:ext uri="{FF2B5EF4-FFF2-40B4-BE49-F238E27FC236}">
                  <a16:creationId xmlns:a16="http://schemas.microsoft.com/office/drawing/2014/main" id="{2CBB5F2B-0314-447E-8EBD-02B978176ECA}"/>
                </a:ext>
              </a:extLst>
            </xdr:cNvPr>
            <xdr:cNvGraphicFramePr/>
          </xdr:nvGraphicFramePr>
          <xdr:xfrm>
            <a:off x="0" y="0"/>
            <a:ext cx="0" cy="0"/>
          </xdr:xfrm>
          <a:graphic>
            <a:graphicData uri="http://schemas.microsoft.com/office/drawing/2010/slicer">
              <sle:slicer xmlns:sle="http://schemas.microsoft.com/office/drawing/2010/slicer" name="Exercise_frequency 1"/>
            </a:graphicData>
          </a:graphic>
        </xdr:graphicFrame>
      </mc:Choice>
      <mc:Fallback xmlns="">
        <xdr:sp macro="" textlink="">
          <xdr:nvSpPr>
            <xdr:cNvPr id="0" name=""/>
            <xdr:cNvSpPr>
              <a:spLocks noTextEdit="1"/>
            </xdr:cNvSpPr>
          </xdr:nvSpPr>
          <xdr:spPr>
            <a:xfrm>
              <a:off x="22860" y="4724400"/>
              <a:ext cx="173736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34</xdr:row>
      <xdr:rowOff>114300</xdr:rowOff>
    </xdr:from>
    <xdr:to>
      <xdr:col>2</xdr:col>
      <xdr:colOff>541020</xdr:colOff>
      <xdr:row>39</xdr:row>
      <xdr:rowOff>152400</xdr:rowOff>
    </xdr:to>
    <mc:AlternateContent xmlns:mc="http://schemas.openxmlformats.org/markup-compatibility/2006" xmlns:a14="http://schemas.microsoft.com/office/drawing/2010/main">
      <mc:Choice Requires="a14">
        <xdr:graphicFrame macro="">
          <xdr:nvGraphicFramePr>
            <xdr:cNvPr id="11" name="Smoker 1">
              <a:extLst>
                <a:ext uri="{FF2B5EF4-FFF2-40B4-BE49-F238E27FC236}">
                  <a16:creationId xmlns:a16="http://schemas.microsoft.com/office/drawing/2014/main" id="{98F1E3A1-0786-4145-8B47-19238B66CE84}"/>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mlns="">
        <xdr:sp macro="" textlink="">
          <xdr:nvSpPr>
            <xdr:cNvPr id="0" name=""/>
            <xdr:cNvSpPr>
              <a:spLocks noTextEdit="1"/>
            </xdr:cNvSpPr>
          </xdr:nvSpPr>
          <xdr:spPr>
            <a:xfrm>
              <a:off x="22860" y="6332220"/>
              <a:ext cx="173736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40</xdr:row>
      <xdr:rowOff>22860</xdr:rowOff>
    </xdr:from>
    <xdr:to>
      <xdr:col>2</xdr:col>
      <xdr:colOff>541020</xdr:colOff>
      <xdr:row>47</xdr:row>
      <xdr:rowOff>7620</xdr:rowOff>
    </xdr:to>
    <mc:AlternateContent xmlns:mc="http://schemas.openxmlformats.org/markup-compatibility/2006" xmlns:a14="http://schemas.microsoft.com/office/drawing/2010/main">
      <mc:Choice Requires="a14">
        <xdr:graphicFrame macro="">
          <xdr:nvGraphicFramePr>
            <xdr:cNvPr id="12" name="Occupation_risk 1">
              <a:extLst>
                <a:ext uri="{FF2B5EF4-FFF2-40B4-BE49-F238E27FC236}">
                  <a16:creationId xmlns:a16="http://schemas.microsoft.com/office/drawing/2014/main" id="{8111C4C3-9D37-4C75-8CF4-B3B9416F8E71}"/>
                </a:ext>
              </a:extLst>
            </xdr:cNvPr>
            <xdr:cNvGraphicFramePr/>
          </xdr:nvGraphicFramePr>
          <xdr:xfrm>
            <a:off x="0" y="0"/>
            <a:ext cx="0" cy="0"/>
          </xdr:xfrm>
          <a:graphic>
            <a:graphicData uri="http://schemas.microsoft.com/office/drawing/2010/slicer">
              <sle:slicer xmlns:sle="http://schemas.microsoft.com/office/drawing/2010/slicer" name="Occupation_risk 1"/>
            </a:graphicData>
          </a:graphic>
        </xdr:graphicFrame>
      </mc:Choice>
      <mc:Fallback xmlns="">
        <xdr:sp macro="" textlink="">
          <xdr:nvSpPr>
            <xdr:cNvPr id="0" name=""/>
            <xdr:cNvSpPr>
              <a:spLocks noTextEdit="1"/>
            </xdr:cNvSpPr>
          </xdr:nvSpPr>
          <xdr:spPr>
            <a:xfrm>
              <a:off x="22860" y="7338060"/>
              <a:ext cx="173736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571500</xdr:colOff>
      <xdr:row>9</xdr:row>
      <xdr:rowOff>99060</xdr:rowOff>
    </xdr:from>
    <xdr:to>
      <xdr:col>9</xdr:col>
      <xdr:colOff>408300</xdr:colOff>
      <xdr:row>28</xdr:row>
      <xdr:rowOff>8340</xdr:rowOff>
    </xdr:to>
    <xdr:graphicFrame macro="">
      <xdr:nvGraphicFramePr>
        <xdr:cNvPr id="16" name="Chart 15">
          <a:extLst>
            <a:ext uri="{FF2B5EF4-FFF2-40B4-BE49-F238E27FC236}">
              <a16:creationId xmlns:a16="http://schemas.microsoft.com/office/drawing/2014/main" id="{FF2904E4-FACF-434F-B8A8-2B691F24F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571500</xdr:colOff>
      <xdr:row>28</xdr:row>
      <xdr:rowOff>91440</xdr:rowOff>
    </xdr:from>
    <xdr:to>
      <xdr:col>9</xdr:col>
      <xdr:colOff>408300</xdr:colOff>
      <xdr:row>47</xdr:row>
      <xdr:rowOff>720</xdr:rowOff>
    </xdr:to>
    <xdr:graphicFrame macro="">
      <xdr:nvGraphicFramePr>
        <xdr:cNvPr id="17" name="Chart 16">
          <a:extLst>
            <a:ext uri="{FF2B5EF4-FFF2-40B4-BE49-F238E27FC236}">
              <a16:creationId xmlns:a16="http://schemas.microsoft.com/office/drawing/2014/main" id="{7F5A0F50-6B00-46C8-B0E3-29E6E7F78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327660</xdr:colOff>
      <xdr:row>28</xdr:row>
      <xdr:rowOff>91440</xdr:rowOff>
    </xdr:from>
    <xdr:to>
      <xdr:col>23</xdr:col>
      <xdr:colOff>164460</xdr:colOff>
      <xdr:row>47</xdr:row>
      <xdr:rowOff>720</xdr:rowOff>
    </xdr:to>
    <xdr:graphicFrame macro="">
      <xdr:nvGraphicFramePr>
        <xdr:cNvPr id="18" name="Chart 17">
          <a:extLst>
            <a:ext uri="{FF2B5EF4-FFF2-40B4-BE49-F238E27FC236}">
              <a16:creationId xmlns:a16="http://schemas.microsoft.com/office/drawing/2014/main" id="{536BB8B6-408C-4DEA-988E-B34043BB4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5</xdr:row>
      <xdr:rowOff>76200</xdr:rowOff>
    </xdr:from>
    <xdr:to>
      <xdr:col>4</xdr:col>
      <xdr:colOff>45720</xdr:colOff>
      <xdr:row>8</xdr:row>
      <xdr:rowOff>106680</xdr:rowOff>
    </xdr:to>
    <xdr:sp macro="" textlink="">
      <xdr:nvSpPr>
        <xdr:cNvPr id="4" name="Oval 3">
          <a:extLst>
            <a:ext uri="{FF2B5EF4-FFF2-40B4-BE49-F238E27FC236}">
              <a16:creationId xmlns:a16="http://schemas.microsoft.com/office/drawing/2014/main" id="{8458CA28-E468-44DC-91F2-C566339B1A32}"/>
            </a:ext>
          </a:extLst>
        </xdr:cNvPr>
        <xdr:cNvSpPr/>
      </xdr:nvSpPr>
      <xdr:spPr>
        <a:xfrm>
          <a:off x="1905000" y="990600"/>
          <a:ext cx="579120" cy="579120"/>
        </a:xfrm>
        <a:prstGeom prst="ellipse">
          <a:avLst/>
        </a:prstGeom>
        <a:gradFill>
          <a:gsLst>
            <a:gs pos="0">
              <a:srgbClr val="4FD1C5"/>
            </a:gs>
            <a:gs pos="0">
              <a:schemeClr val="accent1">
                <a:lumMod val="100000"/>
              </a:schemeClr>
            </a:gs>
            <a:gs pos="100000">
              <a:srgbClr val="1DA1A1"/>
            </a:gs>
          </a:gsLst>
          <a:path path="circle">
            <a:fillToRect l="50000" t="130000" r="50000" b="-3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60960</xdr:colOff>
      <xdr:row>4</xdr:row>
      <xdr:rowOff>144780</xdr:rowOff>
    </xdr:from>
    <xdr:to>
      <xdr:col>12</xdr:col>
      <xdr:colOff>574560</xdr:colOff>
      <xdr:row>9</xdr:row>
      <xdr:rowOff>60960</xdr:rowOff>
    </xdr:to>
    <xdr:sp macro="" textlink="">
      <xdr:nvSpPr>
        <xdr:cNvPr id="5" name="Rectangle: Rounded Corners 4">
          <a:extLst>
            <a:ext uri="{FF2B5EF4-FFF2-40B4-BE49-F238E27FC236}">
              <a16:creationId xmlns:a16="http://schemas.microsoft.com/office/drawing/2014/main" id="{8ABEFC48-10EE-4FE5-A921-3EA18B4A7803}"/>
            </a:ext>
          </a:extLst>
        </xdr:cNvPr>
        <xdr:cNvSpPr/>
      </xdr:nvSpPr>
      <xdr:spPr>
        <a:xfrm>
          <a:off x="4937760" y="876300"/>
          <a:ext cx="2952000" cy="830580"/>
        </a:xfrm>
        <a:prstGeom prst="roundRect">
          <a:avLst/>
        </a:prstGeom>
        <a:gradFill>
          <a:gsLst>
            <a:gs pos="6000">
              <a:srgbClr val="207782"/>
            </a:gs>
            <a:gs pos="55000">
              <a:srgbClr val="188582">
                <a:alpha val="76000"/>
                <a:lumMod val="96000"/>
                <a:lumOff val="4000"/>
              </a:srgbClr>
            </a:gs>
            <a:gs pos="93000">
              <a:srgbClr val="255D75"/>
            </a:gs>
          </a:gsLst>
          <a:path path="circle">
            <a:fillToRect l="50000" t="130000" r="50000" b="-30000"/>
          </a:path>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Cambria Math" panose="02040503050406030204" pitchFamily="18" charset="0"/>
              <a:ea typeface="Cambria Math" panose="02040503050406030204" pitchFamily="18" charset="0"/>
            </a:rPr>
            <a:t>            </a:t>
          </a:r>
          <a:r>
            <a:rPr lang="en-IN" sz="1400">
              <a:latin typeface="Cambria Math" panose="02040503050406030204" pitchFamily="18" charset="0"/>
              <a:ea typeface="Cambria Math" panose="02040503050406030204" pitchFamily="18" charset="0"/>
            </a:rPr>
            <a:t>  </a:t>
          </a:r>
          <a:r>
            <a:rPr lang="en-IN" sz="1400" b="1">
              <a:latin typeface="Cambria Math" panose="02040503050406030204" pitchFamily="18" charset="0"/>
              <a:ea typeface="Cambria Math" panose="02040503050406030204" pitchFamily="18" charset="0"/>
            </a:rPr>
            <a:t> AVG. INSURANCE CHARGES</a:t>
          </a:r>
        </a:p>
      </xdr:txBody>
    </xdr:sp>
    <xdr:clientData/>
  </xdr:twoCellAnchor>
  <xdr:twoCellAnchor>
    <xdr:from>
      <xdr:col>8</xdr:col>
      <xdr:colOff>190500</xdr:colOff>
      <xdr:row>5</xdr:row>
      <xdr:rowOff>68580</xdr:rowOff>
    </xdr:from>
    <xdr:to>
      <xdr:col>9</xdr:col>
      <xdr:colOff>160020</xdr:colOff>
      <xdr:row>8</xdr:row>
      <xdr:rowOff>99060</xdr:rowOff>
    </xdr:to>
    <xdr:sp macro="" textlink="">
      <xdr:nvSpPr>
        <xdr:cNvPr id="21" name="Oval 20">
          <a:extLst>
            <a:ext uri="{FF2B5EF4-FFF2-40B4-BE49-F238E27FC236}">
              <a16:creationId xmlns:a16="http://schemas.microsoft.com/office/drawing/2014/main" id="{E92176B0-DCF2-42A2-B2C4-F8D59FB12F28}"/>
            </a:ext>
          </a:extLst>
        </xdr:cNvPr>
        <xdr:cNvSpPr/>
      </xdr:nvSpPr>
      <xdr:spPr>
        <a:xfrm>
          <a:off x="5067300" y="982980"/>
          <a:ext cx="579120" cy="579120"/>
        </a:xfrm>
        <a:prstGeom prst="ellipse">
          <a:avLst/>
        </a:prstGeom>
        <a:gradFill>
          <a:gsLst>
            <a:gs pos="0">
              <a:srgbClr val="4FD1C5"/>
            </a:gs>
            <a:gs pos="0">
              <a:schemeClr val="accent1">
                <a:lumMod val="100000"/>
              </a:schemeClr>
            </a:gs>
            <a:gs pos="100000">
              <a:srgbClr val="1DA1A1"/>
            </a:gs>
          </a:gsLst>
          <a:path path="circle">
            <a:fillToRect l="50000" t="130000" r="50000" b="-3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160020</xdr:colOff>
      <xdr:row>4</xdr:row>
      <xdr:rowOff>144780</xdr:rowOff>
    </xdr:from>
    <xdr:to>
      <xdr:col>18</xdr:col>
      <xdr:colOff>64020</xdr:colOff>
      <xdr:row>9</xdr:row>
      <xdr:rowOff>60960</xdr:rowOff>
    </xdr:to>
    <xdr:sp macro="" textlink="">
      <xdr:nvSpPr>
        <xdr:cNvPr id="6" name="Rectangle: Rounded Corners 5">
          <a:extLst>
            <a:ext uri="{FF2B5EF4-FFF2-40B4-BE49-F238E27FC236}">
              <a16:creationId xmlns:a16="http://schemas.microsoft.com/office/drawing/2014/main" id="{E3EFD17D-0646-4DF7-9BE1-F8A817551AC1}"/>
            </a:ext>
          </a:extLst>
        </xdr:cNvPr>
        <xdr:cNvSpPr/>
      </xdr:nvSpPr>
      <xdr:spPr>
        <a:xfrm>
          <a:off x="8084820" y="876300"/>
          <a:ext cx="2952000" cy="830580"/>
        </a:xfrm>
        <a:prstGeom prst="roundRect">
          <a:avLst/>
        </a:prstGeom>
        <a:gradFill>
          <a:gsLst>
            <a:gs pos="6000">
              <a:srgbClr val="207782"/>
            </a:gs>
            <a:gs pos="55000">
              <a:srgbClr val="188582">
                <a:alpha val="76000"/>
                <a:lumMod val="96000"/>
                <a:lumOff val="4000"/>
              </a:srgbClr>
            </a:gs>
            <a:gs pos="93000">
              <a:srgbClr val="255D75"/>
            </a:gs>
          </a:gsLst>
          <a:path path="circle">
            <a:fillToRect l="50000" t="130000" r="50000" b="-30000"/>
          </a:path>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Cambria Math" panose="02040503050406030204" pitchFamily="18" charset="0"/>
              <a:ea typeface="Cambria Math" panose="02040503050406030204" pitchFamily="18" charset="0"/>
            </a:rPr>
            <a:t>AVG. BMI</a:t>
          </a:r>
        </a:p>
      </xdr:txBody>
    </xdr:sp>
    <xdr:clientData/>
  </xdr:twoCellAnchor>
  <xdr:twoCellAnchor>
    <xdr:from>
      <xdr:col>13</xdr:col>
      <xdr:colOff>297180</xdr:colOff>
      <xdr:row>5</xdr:row>
      <xdr:rowOff>68580</xdr:rowOff>
    </xdr:from>
    <xdr:to>
      <xdr:col>14</xdr:col>
      <xdr:colOff>266700</xdr:colOff>
      <xdr:row>8</xdr:row>
      <xdr:rowOff>99060</xdr:rowOff>
    </xdr:to>
    <xdr:sp macro="" textlink="">
      <xdr:nvSpPr>
        <xdr:cNvPr id="22" name="Oval 21">
          <a:extLst>
            <a:ext uri="{FF2B5EF4-FFF2-40B4-BE49-F238E27FC236}">
              <a16:creationId xmlns:a16="http://schemas.microsoft.com/office/drawing/2014/main" id="{228076D8-D72E-4B7D-8B68-38910CC4907F}"/>
            </a:ext>
          </a:extLst>
        </xdr:cNvPr>
        <xdr:cNvSpPr/>
      </xdr:nvSpPr>
      <xdr:spPr>
        <a:xfrm>
          <a:off x="8221980" y="982980"/>
          <a:ext cx="579120" cy="579120"/>
        </a:xfrm>
        <a:prstGeom prst="ellipse">
          <a:avLst/>
        </a:prstGeom>
        <a:gradFill>
          <a:gsLst>
            <a:gs pos="0">
              <a:srgbClr val="4FD1C5"/>
            </a:gs>
            <a:gs pos="0">
              <a:schemeClr val="accent1">
                <a:lumMod val="100000"/>
              </a:schemeClr>
            </a:gs>
            <a:gs pos="100000">
              <a:srgbClr val="1DA1A1"/>
            </a:gs>
          </a:gsLst>
          <a:path path="circle">
            <a:fillToRect l="50000" t="130000" r="50000" b="-3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266700</xdr:colOff>
      <xdr:row>4</xdr:row>
      <xdr:rowOff>144780</xdr:rowOff>
    </xdr:from>
    <xdr:to>
      <xdr:col>23</xdr:col>
      <xdr:colOff>170700</xdr:colOff>
      <xdr:row>9</xdr:row>
      <xdr:rowOff>60960</xdr:rowOff>
    </xdr:to>
    <xdr:sp macro="" textlink="">
      <xdr:nvSpPr>
        <xdr:cNvPr id="19" name="Rectangle: Rounded Corners 18">
          <a:extLst>
            <a:ext uri="{FF2B5EF4-FFF2-40B4-BE49-F238E27FC236}">
              <a16:creationId xmlns:a16="http://schemas.microsoft.com/office/drawing/2014/main" id="{89A17072-50BB-4BC3-A7C0-EA5518ED907C}"/>
            </a:ext>
          </a:extLst>
        </xdr:cNvPr>
        <xdr:cNvSpPr/>
      </xdr:nvSpPr>
      <xdr:spPr>
        <a:xfrm>
          <a:off x="11239500" y="876300"/>
          <a:ext cx="2952000" cy="830580"/>
        </a:xfrm>
        <a:prstGeom prst="roundRect">
          <a:avLst/>
        </a:prstGeom>
        <a:gradFill>
          <a:gsLst>
            <a:gs pos="6000">
              <a:srgbClr val="207782"/>
            </a:gs>
            <a:gs pos="55000">
              <a:srgbClr val="188582">
                <a:alpha val="76000"/>
                <a:lumMod val="96000"/>
                <a:lumOff val="4000"/>
              </a:srgbClr>
            </a:gs>
            <a:gs pos="93000">
              <a:srgbClr val="255D75"/>
            </a:gs>
          </a:gsLst>
          <a:path path="circle">
            <a:fillToRect l="50000" t="130000" r="50000" b="-30000"/>
          </a:path>
        </a:gra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Cambria Math" panose="02040503050406030204" pitchFamily="18" charset="0"/>
              <a:ea typeface="Cambria Math" panose="02040503050406030204" pitchFamily="18" charset="0"/>
            </a:rPr>
            <a:t>            </a:t>
          </a:r>
          <a:r>
            <a:rPr lang="en-IN" sz="1200" b="1">
              <a:latin typeface="Cambria Math" panose="02040503050406030204" pitchFamily="18" charset="0"/>
              <a:ea typeface="Cambria Math" panose="02040503050406030204" pitchFamily="18" charset="0"/>
            </a:rPr>
            <a:t> </a:t>
          </a:r>
          <a:r>
            <a:rPr lang="en-IN" sz="1400" b="1">
              <a:latin typeface="Cambria Math" panose="02040503050406030204" pitchFamily="18" charset="0"/>
              <a:ea typeface="Cambria Math" panose="02040503050406030204" pitchFamily="18" charset="0"/>
            </a:rPr>
            <a:t>   AVG. BLOOD PRESSURE</a:t>
          </a:r>
        </a:p>
      </xdr:txBody>
    </xdr:sp>
    <xdr:clientData/>
  </xdr:twoCellAnchor>
  <xdr:twoCellAnchor>
    <xdr:from>
      <xdr:col>18</xdr:col>
      <xdr:colOff>396240</xdr:colOff>
      <xdr:row>5</xdr:row>
      <xdr:rowOff>76200</xdr:rowOff>
    </xdr:from>
    <xdr:to>
      <xdr:col>19</xdr:col>
      <xdr:colOff>365760</xdr:colOff>
      <xdr:row>8</xdr:row>
      <xdr:rowOff>106680</xdr:rowOff>
    </xdr:to>
    <xdr:sp macro="" textlink="">
      <xdr:nvSpPr>
        <xdr:cNvPr id="27" name="Oval 26">
          <a:extLst>
            <a:ext uri="{FF2B5EF4-FFF2-40B4-BE49-F238E27FC236}">
              <a16:creationId xmlns:a16="http://schemas.microsoft.com/office/drawing/2014/main" id="{4094BE15-4F06-4CD9-8264-D51687E6DDEC}"/>
            </a:ext>
          </a:extLst>
        </xdr:cNvPr>
        <xdr:cNvSpPr/>
      </xdr:nvSpPr>
      <xdr:spPr>
        <a:xfrm>
          <a:off x="11369040" y="990600"/>
          <a:ext cx="579120" cy="579120"/>
        </a:xfrm>
        <a:prstGeom prst="ellipse">
          <a:avLst/>
        </a:prstGeom>
        <a:gradFill>
          <a:gsLst>
            <a:gs pos="0">
              <a:srgbClr val="4FD1C5"/>
            </a:gs>
            <a:gs pos="0">
              <a:schemeClr val="accent1">
                <a:lumMod val="100000"/>
              </a:schemeClr>
            </a:gs>
            <a:gs pos="100000">
              <a:srgbClr val="1DA1A1"/>
            </a:gs>
          </a:gsLst>
          <a:path path="circle">
            <a:fillToRect l="50000" t="130000" r="50000" b="-3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106680</xdr:colOff>
      <xdr:row>0</xdr:row>
      <xdr:rowOff>68580</xdr:rowOff>
    </xdr:from>
    <xdr:to>
      <xdr:col>1</xdr:col>
      <xdr:colOff>198120</xdr:colOff>
      <xdr:row>4</xdr:row>
      <xdr:rowOff>53340</xdr:rowOff>
    </xdr:to>
    <xdr:pic>
      <xdr:nvPicPr>
        <xdr:cNvPr id="30" name="Graphic 29" descr="Heart with pulse with solid fill">
          <a:extLst>
            <a:ext uri="{FF2B5EF4-FFF2-40B4-BE49-F238E27FC236}">
              <a16:creationId xmlns:a16="http://schemas.microsoft.com/office/drawing/2014/main" id="{B84A3689-05CF-71B1-8295-D605B110354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6680" y="68580"/>
          <a:ext cx="701040" cy="716280"/>
        </a:xfrm>
        <a:prstGeom prst="rect">
          <a:avLst/>
        </a:prstGeom>
      </xdr:spPr>
    </xdr:pic>
    <xdr:clientData/>
  </xdr:twoCellAnchor>
  <xdr:twoCellAnchor editAs="oneCell">
    <xdr:from>
      <xdr:col>3</xdr:col>
      <xdr:colOff>160020</xdr:colOff>
      <xdr:row>5</xdr:row>
      <xdr:rowOff>121920</xdr:rowOff>
    </xdr:from>
    <xdr:to>
      <xdr:col>3</xdr:col>
      <xdr:colOff>586740</xdr:colOff>
      <xdr:row>8</xdr:row>
      <xdr:rowOff>30480</xdr:rowOff>
    </xdr:to>
    <xdr:pic>
      <xdr:nvPicPr>
        <xdr:cNvPr id="32" name="Graphic 31" descr="Users with solid fill">
          <a:extLst>
            <a:ext uri="{FF2B5EF4-FFF2-40B4-BE49-F238E27FC236}">
              <a16:creationId xmlns:a16="http://schemas.microsoft.com/office/drawing/2014/main" id="{97B4963A-EBC3-6D1F-6933-D297DF8FB8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988820" y="1036320"/>
          <a:ext cx="426720" cy="457200"/>
        </a:xfrm>
        <a:prstGeom prst="rect">
          <a:avLst/>
        </a:prstGeom>
      </xdr:spPr>
    </xdr:pic>
    <xdr:clientData/>
  </xdr:twoCellAnchor>
  <xdr:twoCellAnchor editAs="oneCell">
    <xdr:from>
      <xdr:col>18</xdr:col>
      <xdr:colOff>449580</xdr:colOff>
      <xdr:row>5</xdr:row>
      <xdr:rowOff>114300</xdr:rowOff>
    </xdr:from>
    <xdr:to>
      <xdr:col>19</xdr:col>
      <xdr:colOff>358140</xdr:colOff>
      <xdr:row>8</xdr:row>
      <xdr:rowOff>83820</xdr:rowOff>
    </xdr:to>
    <xdr:pic>
      <xdr:nvPicPr>
        <xdr:cNvPr id="34" name="Graphic 33" descr="Heartbeat with solid fill">
          <a:extLst>
            <a:ext uri="{FF2B5EF4-FFF2-40B4-BE49-F238E27FC236}">
              <a16:creationId xmlns:a16="http://schemas.microsoft.com/office/drawing/2014/main" id="{A54D5FA3-FB7E-391E-E3D2-30C1B67C47F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422380" y="1028700"/>
          <a:ext cx="518160" cy="518160"/>
        </a:xfrm>
        <a:prstGeom prst="rect">
          <a:avLst/>
        </a:prstGeom>
      </xdr:spPr>
    </xdr:pic>
    <xdr:clientData/>
  </xdr:twoCellAnchor>
  <xdr:twoCellAnchor editAs="oneCell">
    <xdr:from>
      <xdr:col>8</xdr:col>
      <xdr:colOff>297180</xdr:colOff>
      <xdr:row>5</xdr:row>
      <xdr:rowOff>160020</xdr:rowOff>
    </xdr:from>
    <xdr:to>
      <xdr:col>9</xdr:col>
      <xdr:colOff>76200</xdr:colOff>
      <xdr:row>8</xdr:row>
      <xdr:rowOff>7620</xdr:rowOff>
    </xdr:to>
    <xdr:pic>
      <xdr:nvPicPr>
        <xdr:cNvPr id="36" name="Graphic 35" descr="Document with solid fill">
          <a:extLst>
            <a:ext uri="{FF2B5EF4-FFF2-40B4-BE49-F238E27FC236}">
              <a16:creationId xmlns:a16="http://schemas.microsoft.com/office/drawing/2014/main" id="{EE2F687F-9DB6-E99F-05EE-8ED917537A0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173980" y="1074420"/>
          <a:ext cx="388620" cy="396240"/>
        </a:xfrm>
        <a:prstGeom prst="rect">
          <a:avLst/>
        </a:prstGeom>
      </xdr:spPr>
    </xdr:pic>
    <xdr:clientData/>
  </xdr:twoCellAnchor>
  <xdr:twoCellAnchor editAs="oneCell">
    <xdr:from>
      <xdr:col>13</xdr:col>
      <xdr:colOff>365760</xdr:colOff>
      <xdr:row>5</xdr:row>
      <xdr:rowOff>121920</xdr:rowOff>
    </xdr:from>
    <xdr:to>
      <xdr:col>14</xdr:col>
      <xdr:colOff>205740</xdr:colOff>
      <xdr:row>8</xdr:row>
      <xdr:rowOff>22860</xdr:rowOff>
    </xdr:to>
    <xdr:pic>
      <xdr:nvPicPr>
        <xdr:cNvPr id="38" name="Graphic 37" descr="Scales of justice with solid fill">
          <a:extLst>
            <a:ext uri="{FF2B5EF4-FFF2-40B4-BE49-F238E27FC236}">
              <a16:creationId xmlns:a16="http://schemas.microsoft.com/office/drawing/2014/main" id="{82FE5756-143F-C0C8-708A-490423F01F2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290560" y="1036320"/>
          <a:ext cx="449580" cy="449580"/>
        </a:xfrm>
        <a:prstGeom prst="rect">
          <a:avLst/>
        </a:prstGeom>
      </xdr:spPr>
    </xdr:pic>
    <xdr:clientData/>
  </xdr:twoCellAnchor>
  <xdr:twoCellAnchor>
    <xdr:from>
      <xdr:col>9</xdr:col>
      <xdr:colOff>449580</xdr:colOff>
      <xdr:row>28</xdr:row>
      <xdr:rowOff>91440</xdr:rowOff>
    </xdr:from>
    <xdr:to>
      <xdr:col>16</xdr:col>
      <xdr:colOff>286380</xdr:colOff>
      <xdr:row>47</xdr:row>
      <xdr:rowOff>720</xdr:rowOff>
    </xdr:to>
    <xdr:graphicFrame macro="">
      <xdr:nvGraphicFramePr>
        <xdr:cNvPr id="14" name="Chart 13">
          <a:extLst>
            <a:ext uri="{FF2B5EF4-FFF2-40B4-BE49-F238E27FC236}">
              <a16:creationId xmlns:a16="http://schemas.microsoft.com/office/drawing/2014/main" id="{CD391D3D-F3AB-455D-9825-BA952515C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449580</xdr:colOff>
      <xdr:row>9</xdr:row>
      <xdr:rowOff>99060</xdr:rowOff>
    </xdr:from>
    <xdr:to>
      <xdr:col>16</xdr:col>
      <xdr:colOff>286380</xdr:colOff>
      <xdr:row>28</xdr:row>
      <xdr:rowOff>7620</xdr:rowOff>
    </xdr:to>
    <xdr:graphicFrame macro="">
      <xdr:nvGraphicFramePr>
        <xdr:cNvPr id="13" name="Chart 12">
          <a:extLst>
            <a:ext uri="{FF2B5EF4-FFF2-40B4-BE49-F238E27FC236}">
              <a16:creationId xmlns:a16="http://schemas.microsoft.com/office/drawing/2014/main" id="{2A88ECA5-50AA-4B97-9689-32408DB78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556260</xdr:colOff>
      <xdr:row>6</xdr:row>
      <xdr:rowOff>99060</xdr:rowOff>
    </xdr:from>
    <xdr:to>
      <xdr:col>6</xdr:col>
      <xdr:colOff>304800</xdr:colOff>
      <xdr:row>8</xdr:row>
      <xdr:rowOff>45720</xdr:rowOff>
    </xdr:to>
    <xdr:sp macro="" textlink="Sheet1!B109">
      <xdr:nvSpPr>
        <xdr:cNvPr id="23" name="TextBox 22">
          <a:extLst>
            <a:ext uri="{FF2B5EF4-FFF2-40B4-BE49-F238E27FC236}">
              <a16:creationId xmlns:a16="http://schemas.microsoft.com/office/drawing/2014/main" id="{503C5733-461D-9A91-A8B7-537F879E41B6}"/>
            </a:ext>
          </a:extLst>
        </xdr:cNvPr>
        <xdr:cNvSpPr txBox="1"/>
      </xdr:nvSpPr>
      <xdr:spPr>
        <a:xfrm>
          <a:off x="2994660" y="1196340"/>
          <a:ext cx="967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10A7B0-A528-40B3-949C-CE7526A78A4E}" type="TxLink">
            <a:rPr lang="en-US" sz="2000" b="1" i="0" u="none" strike="noStrike">
              <a:solidFill>
                <a:schemeClr val="bg1"/>
              </a:solidFill>
              <a:latin typeface="Aptos Narrow"/>
            </a:rPr>
            <a:pPr/>
            <a:t>1338</a:t>
          </a:fld>
          <a:endParaRPr lang="en-IN" sz="2000" b="1">
            <a:solidFill>
              <a:schemeClr val="bg1"/>
            </a:solidFill>
          </a:endParaRPr>
        </a:p>
      </xdr:txBody>
    </xdr:sp>
    <xdr:clientData/>
  </xdr:twoCellAnchor>
  <xdr:twoCellAnchor>
    <xdr:from>
      <xdr:col>10</xdr:col>
      <xdr:colOff>53340</xdr:colOff>
      <xdr:row>6</xdr:row>
      <xdr:rowOff>99060</xdr:rowOff>
    </xdr:from>
    <xdr:to>
      <xdr:col>11</xdr:col>
      <xdr:colOff>457200</xdr:colOff>
      <xdr:row>8</xdr:row>
      <xdr:rowOff>45720</xdr:rowOff>
    </xdr:to>
    <xdr:sp macro="" textlink="Sheet1!B112">
      <xdr:nvSpPr>
        <xdr:cNvPr id="24" name="TextBox 23">
          <a:extLst>
            <a:ext uri="{FF2B5EF4-FFF2-40B4-BE49-F238E27FC236}">
              <a16:creationId xmlns:a16="http://schemas.microsoft.com/office/drawing/2014/main" id="{E1A3ED4C-705D-DC0F-8D1B-8FFB43343237}"/>
            </a:ext>
          </a:extLst>
        </xdr:cNvPr>
        <xdr:cNvSpPr txBox="1"/>
      </xdr:nvSpPr>
      <xdr:spPr>
        <a:xfrm>
          <a:off x="6149340" y="1196340"/>
          <a:ext cx="10134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19166E-3DB9-4EE1-B701-D63169F94C36}" type="TxLink">
            <a:rPr lang="en-US" sz="2000" b="1" i="0" u="none" strike="noStrike">
              <a:solidFill>
                <a:schemeClr val="bg1"/>
              </a:solidFill>
              <a:latin typeface="Aptos Narrow"/>
            </a:rPr>
            <a:pPr/>
            <a:t>13270</a:t>
          </a:fld>
          <a:endParaRPr lang="en-IN" sz="2000" b="1">
            <a:solidFill>
              <a:schemeClr val="bg1"/>
            </a:solidFill>
          </a:endParaRPr>
        </a:p>
      </xdr:txBody>
    </xdr:sp>
    <xdr:clientData/>
  </xdr:twoCellAnchor>
  <xdr:twoCellAnchor>
    <xdr:from>
      <xdr:col>15</xdr:col>
      <xdr:colOff>228600</xdr:colOff>
      <xdr:row>6</xdr:row>
      <xdr:rowOff>91440</xdr:rowOff>
    </xdr:from>
    <xdr:to>
      <xdr:col>16</xdr:col>
      <xdr:colOff>563880</xdr:colOff>
      <xdr:row>8</xdr:row>
      <xdr:rowOff>7620</xdr:rowOff>
    </xdr:to>
    <xdr:sp macro="" textlink="Sheet1!B115">
      <xdr:nvSpPr>
        <xdr:cNvPr id="25" name="TextBox 24">
          <a:extLst>
            <a:ext uri="{FF2B5EF4-FFF2-40B4-BE49-F238E27FC236}">
              <a16:creationId xmlns:a16="http://schemas.microsoft.com/office/drawing/2014/main" id="{712AEC9D-6BDF-50DC-932B-FF3895DE039A}"/>
            </a:ext>
          </a:extLst>
        </xdr:cNvPr>
        <xdr:cNvSpPr txBox="1"/>
      </xdr:nvSpPr>
      <xdr:spPr>
        <a:xfrm>
          <a:off x="9372600" y="1188720"/>
          <a:ext cx="9448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9FCA58-0384-48BF-98C2-DC03B7362472}" type="TxLink">
            <a:rPr lang="en-US" sz="2000" b="1" i="0" u="none" strike="noStrike">
              <a:solidFill>
                <a:schemeClr val="bg1"/>
              </a:solidFill>
              <a:latin typeface="Aptos Narrow"/>
            </a:rPr>
            <a:pPr/>
            <a:t>31</a:t>
          </a:fld>
          <a:endParaRPr lang="en-IN" sz="2000" b="1">
            <a:solidFill>
              <a:schemeClr val="bg1"/>
            </a:solidFill>
          </a:endParaRPr>
        </a:p>
      </xdr:txBody>
    </xdr:sp>
    <xdr:clientData/>
  </xdr:twoCellAnchor>
  <xdr:twoCellAnchor>
    <xdr:from>
      <xdr:col>20</xdr:col>
      <xdr:colOff>472440</xdr:colOff>
      <xdr:row>6</xdr:row>
      <xdr:rowOff>114300</xdr:rowOff>
    </xdr:from>
    <xdr:to>
      <xdr:col>22</xdr:col>
      <xdr:colOff>266700</xdr:colOff>
      <xdr:row>8</xdr:row>
      <xdr:rowOff>30480</xdr:rowOff>
    </xdr:to>
    <xdr:sp macro="" textlink="Sheet1!B118">
      <xdr:nvSpPr>
        <xdr:cNvPr id="26" name="TextBox 25">
          <a:extLst>
            <a:ext uri="{FF2B5EF4-FFF2-40B4-BE49-F238E27FC236}">
              <a16:creationId xmlns:a16="http://schemas.microsoft.com/office/drawing/2014/main" id="{D39E76FA-F97B-D209-36B9-8986A792A32E}"/>
            </a:ext>
          </a:extLst>
        </xdr:cNvPr>
        <xdr:cNvSpPr txBox="1"/>
      </xdr:nvSpPr>
      <xdr:spPr>
        <a:xfrm>
          <a:off x="12664440" y="1211580"/>
          <a:ext cx="10134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CF30EF-49CB-48D4-8B55-D3ED49508884}" type="TxLink">
            <a:rPr lang="en-US" sz="2000" b="1" i="0" u="none" strike="noStrike">
              <a:solidFill>
                <a:schemeClr val="bg1"/>
              </a:solidFill>
              <a:latin typeface="Aptos Narrow"/>
            </a:rPr>
            <a:pPr/>
            <a:t>124</a:t>
          </a:fld>
          <a:endParaRPr lang="en-IN" sz="2000" b="1">
            <a:solidFill>
              <a:schemeClr val="bg1"/>
            </a:solidFill>
          </a:endParaRPr>
        </a:p>
      </xdr:txBody>
    </xdr:sp>
    <xdr:clientData/>
  </xdr:twoCellAnchor>
  <xdr:twoCellAnchor>
    <xdr:from>
      <xdr:col>16</xdr:col>
      <xdr:colOff>327660</xdr:colOff>
      <xdr:row>9</xdr:row>
      <xdr:rowOff>99060</xdr:rowOff>
    </xdr:from>
    <xdr:to>
      <xdr:col>23</xdr:col>
      <xdr:colOff>164460</xdr:colOff>
      <xdr:row>28</xdr:row>
      <xdr:rowOff>7620</xdr:rowOff>
    </xdr:to>
    <xdr:graphicFrame macro="">
      <xdr:nvGraphicFramePr>
        <xdr:cNvPr id="20" name="Chart 19">
          <a:extLst>
            <a:ext uri="{FF2B5EF4-FFF2-40B4-BE49-F238E27FC236}">
              <a16:creationId xmlns:a16="http://schemas.microsoft.com/office/drawing/2014/main" id="{0B0C5C9B-7501-469F-99F8-4325F713A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327660</xdr:colOff>
      <xdr:row>9</xdr:row>
      <xdr:rowOff>114300</xdr:rowOff>
    </xdr:from>
    <xdr:to>
      <xdr:col>23</xdr:col>
      <xdr:colOff>160020</xdr:colOff>
      <xdr:row>12</xdr:row>
      <xdr:rowOff>69660</xdr:rowOff>
    </xdr:to>
    <xdr:sp macro="" textlink="">
      <xdr:nvSpPr>
        <xdr:cNvPr id="15" name="Rectangle: Rounded Corners 14">
          <a:extLst>
            <a:ext uri="{FF2B5EF4-FFF2-40B4-BE49-F238E27FC236}">
              <a16:creationId xmlns:a16="http://schemas.microsoft.com/office/drawing/2014/main" id="{DD4E19B5-494A-62C6-BE49-5F4F44EDD82D}"/>
            </a:ext>
          </a:extLst>
        </xdr:cNvPr>
        <xdr:cNvSpPr/>
      </xdr:nvSpPr>
      <xdr:spPr>
        <a:xfrm>
          <a:off x="10081260" y="1760220"/>
          <a:ext cx="4099560" cy="504000"/>
        </a:xfrm>
        <a:prstGeom prst="roundRect">
          <a:avLst/>
        </a:prstGeom>
        <a:solidFill>
          <a:srgbClr val="1D44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latin typeface="Cambria Math" panose="02040503050406030204" pitchFamily="18" charset="0"/>
              <a:ea typeface="Cambria Math" panose="02040503050406030204" pitchFamily="18" charset="0"/>
            </a:rPr>
            <a:t>AVG. BMI</a:t>
          </a:r>
          <a:r>
            <a:rPr lang="en-IN" sz="1400" baseline="0">
              <a:latin typeface="Cambria Math" panose="02040503050406030204" pitchFamily="18" charset="0"/>
              <a:ea typeface="Cambria Math" panose="02040503050406030204" pitchFamily="18" charset="0"/>
            </a:rPr>
            <a:t> BY AGE CATEGORY</a:t>
          </a:r>
          <a:endParaRPr lang="en-IN" sz="1400">
            <a:latin typeface="Cambria Math" panose="02040503050406030204" pitchFamily="18" charset="0"/>
            <a:ea typeface="Cambria Math" panose="02040503050406030204" pitchFamily="18" charset="0"/>
          </a:endParaRPr>
        </a:p>
      </xdr:txBody>
    </xdr:sp>
    <xdr:clientData/>
  </xdr:twoCellAnchor>
  <xdr:twoCellAnchor>
    <xdr:from>
      <xdr:col>18</xdr:col>
      <xdr:colOff>121920</xdr:colOff>
      <xdr:row>38</xdr:row>
      <xdr:rowOff>60960</xdr:rowOff>
    </xdr:from>
    <xdr:to>
      <xdr:col>20</xdr:col>
      <xdr:colOff>289560</xdr:colOff>
      <xdr:row>39</xdr:row>
      <xdr:rowOff>167640</xdr:rowOff>
    </xdr:to>
    <xdr:sp macro="" textlink="">
      <xdr:nvSpPr>
        <xdr:cNvPr id="28" name="Rectangle: Rounded Corners 27">
          <a:extLst>
            <a:ext uri="{FF2B5EF4-FFF2-40B4-BE49-F238E27FC236}">
              <a16:creationId xmlns:a16="http://schemas.microsoft.com/office/drawing/2014/main" id="{AEC0908D-0CCC-7F07-B4F6-87A69835AA6B}"/>
            </a:ext>
          </a:extLst>
        </xdr:cNvPr>
        <xdr:cNvSpPr/>
      </xdr:nvSpPr>
      <xdr:spPr>
        <a:xfrm>
          <a:off x="11094720" y="7010400"/>
          <a:ext cx="1386840" cy="2895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Cambria Math" panose="02040503050406030204" pitchFamily="18" charset="0"/>
              <a:ea typeface="Cambria Math" panose="02040503050406030204" pitchFamily="18" charset="0"/>
            </a:rPr>
            <a:t>TOTAL PATIENTS</a:t>
          </a:r>
        </a:p>
      </xdr:txBody>
    </xdr:sp>
    <xdr:clientData/>
  </xdr:twoCellAnchor>
  <xdr:twoCellAnchor>
    <xdr:from>
      <xdr:col>18</xdr:col>
      <xdr:colOff>510540</xdr:colOff>
      <xdr:row>39</xdr:row>
      <xdr:rowOff>129540</xdr:rowOff>
    </xdr:from>
    <xdr:to>
      <xdr:col>20</xdr:col>
      <xdr:colOff>7620</xdr:colOff>
      <xdr:row>41</xdr:row>
      <xdr:rowOff>38100</xdr:rowOff>
    </xdr:to>
    <xdr:sp macro="" textlink="Sheet1!B122">
      <xdr:nvSpPr>
        <xdr:cNvPr id="29" name="TextBox 28">
          <a:extLst>
            <a:ext uri="{FF2B5EF4-FFF2-40B4-BE49-F238E27FC236}">
              <a16:creationId xmlns:a16="http://schemas.microsoft.com/office/drawing/2014/main" id="{52375E1D-8214-350B-6AED-E91AFC11C932}"/>
            </a:ext>
          </a:extLst>
        </xdr:cNvPr>
        <xdr:cNvSpPr txBox="1"/>
      </xdr:nvSpPr>
      <xdr:spPr>
        <a:xfrm>
          <a:off x="11483340" y="7261860"/>
          <a:ext cx="7162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34C355-1464-437C-B233-0F2A6C72FABB}" type="TxLink">
            <a:rPr lang="en-US" sz="1600" b="1" i="0" u="none" strike="noStrike">
              <a:solidFill>
                <a:schemeClr val="tx1"/>
              </a:solidFill>
              <a:latin typeface="Aptos Narrow"/>
            </a:rPr>
            <a:pPr/>
            <a:t>1338</a:t>
          </a:fld>
          <a:endParaRPr lang="en-IN" sz="1600" b="1">
            <a:solidFill>
              <a:schemeClr val="tx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0.00391</cdr:x>
      <cdr:y>0.00375</cdr:y>
    </cdr:from>
    <cdr:to>
      <cdr:x>0.99892</cdr:x>
      <cdr:y>0.1524</cdr:y>
    </cdr:to>
    <cdr:sp macro="" textlink="">
      <cdr:nvSpPr>
        <cdr:cNvPr id="2" name="Rectangle: Rounded Corners 1">
          <a:extLst xmlns:a="http://schemas.openxmlformats.org/drawingml/2006/main">
            <a:ext uri="{FF2B5EF4-FFF2-40B4-BE49-F238E27FC236}">
              <a16:creationId xmlns:a16="http://schemas.microsoft.com/office/drawing/2014/main" id="{CDDEB462-B62C-E61A-FDDB-EA3361E7232F}"/>
            </a:ext>
          </a:extLst>
        </cdr:cNvPr>
        <cdr:cNvSpPr/>
      </cdr:nvSpPr>
      <cdr:spPr>
        <a:xfrm xmlns:a="http://schemas.openxmlformats.org/drawingml/2006/main">
          <a:off x="16032" y="12700"/>
          <a:ext cx="4083528" cy="503026"/>
        </a:xfrm>
        <a:prstGeom xmlns:a="http://schemas.openxmlformats.org/drawingml/2006/main" prst="roundRect">
          <a:avLst/>
        </a:prstGeom>
        <a:solidFill xmlns:a="http://schemas.openxmlformats.org/drawingml/2006/main">
          <a:srgbClr val="1D4457"/>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kern="1200">
              <a:latin typeface="Cambria Math" panose="02040503050406030204" pitchFamily="18" charset="0"/>
              <a:ea typeface="Cambria Math" panose="02040503050406030204" pitchFamily="18" charset="0"/>
            </a:rPr>
            <a:t>PATIEN</a:t>
          </a:r>
          <a:r>
            <a:rPr lang="en-IN" sz="1400" kern="1200" baseline="0">
              <a:latin typeface="Cambria Math" panose="02040503050406030204" pitchFamily="18" charset="0"/>
              <a:ea typeface="Cambria Math" panose="02040503050406030204" pitchFamily="18" charset="0"/>
            </a:rPr>
            <a:t>T COUNT BY REGION</a:t>
          </a:r>
          <a:endParaRPr lang="en-IN" sz="1400" kern="1200">
            <a:latin typeface="Cambria Math" panose="02040503050406030204" pitchFamily="18" charset="0"/>
            <a:ea typeface="Cambria Math" panose="02040503050406030204"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0.00186</cdr:x>
      <cdr:y>0.0015</cdr:y>
    </cdr:from>
    <cdr:to>
      <cdr:x>0.99892</cdr:x>
      <cdr:y>0.15015</cdr:y>
    </cdr:to>
    <cdr:sp macro="" textlink="">
      <cdr:nvSpPr>
        <cdr:cNvPr id="2" name="Rectangle: Rounded Corners 1">
          <a:extLst xmlns:a="http://schemas.openxmlformats.org/drawingml/2006/main">
            <a:ext uri="{FF2B5EF4-FFF2-40B4-BE49-F238E27FC236}">
              <a16:creationId xmlns:a16="http://schemas.microsoft.com/office/drawing/2014/main" id="{158A979F-022C-B488-9CFA-7936425E472A}"/>
            </a:ext>
          </a:extLst>
        </cdr:cNvPr>
        <cdr:cNvSpPr/>
      </cdr:nvSpPr>
      <cdr:spPr>
        <a:xfrm xmlns:a="http://schemas.openxmlformats.org/drawingml/2006/main">
          <a:off x="7620" y="5080"/>
          <a:ext cx="4091940" cy="503026"/>
        </a:xfrm>
        <a:prstGeom xmlns:a="http://schemas.openxmlformats.org/drawingml/2006/main" prst="roundRect">
          <a:avLst/>
        </a:prstGeom>
        <a:solidFill xmlns:a="http://schemas.openxmlformats.org/drawingml/2006/main">
          <a:srgbClr val="1D4457"/>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kern="1200">
              <a:latin typeface="Cambria Math" panose="02040503050406030204" pitchFamily="18" charset="0"/>
              <a:ea typeface="Cambria Math" panose="02040503050406030204" pitchFamily="18" charset="0"/>
            </a:rPr>
            <a:t>AVG.</a:t>
          </a:r>
          <a:r>
            <a:rPr lang="en-IN" sz="1400" kern="1200" baseline="0">
              <a:latin typeface="Cambria Math" panose="02040503050406030204" pitchFamily="18" charset="0"/>
              <a:ea typeface="Cambria Math" panose="02040503050406030204" pitchFamily="18" charset="0"/>
            </a:rPr>
            <a:t> INSURANCE CHARGES BY NO. OF CHILDREN</a:t>
          </a:r>
          <a:endParaRPr lang="en-IN" sz="1400" kern="1200">
            <a:latin typeface="Cambria Math" panose="02040503050406030204" pitchFamily="18" charset="0"/>
            <a:ea typeface="Cambria Math" panose="02040503050406030204" pitchFamily="18"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0.00294</cdr:x>
      <cdr:y>0.0015</cdr:y>
    </cdr:from>
    <cdr:to>
      <cdr:x>1</cdr:x>
      <cdr:y>0.15015</cdr:y>
    </cdr:to>
    <cdr:sp macro="" textlink="">
      <cdr:nvSpPr>
        <cdr:cNvPr id="2" name="Rectangle: Rounded Corners 1">
          <a:extLst xmlns:a="http://schemas.openxmlformats.org/drawingml/2006/main">
            <a:ext uri="{FF2B5EF4-FFF2-40B4-BE49-F238E27FC236}">
              <a16:creationId xmlns:a16="http://schemas.microsoft.com/office/drawing/2014/main" id="{216FB958-4B1A-A654-7127-0BEEE3D51A57}"/>
            </a:ext>
          </a:extLst>
        </cdr:cNvPr>
        <cdr:cNvSpPr/>
      </cdr:nvSpPr>
      <cdr:spPr>
        <a:xfrm xmlns:a="http://schemas.openxmlformats.org/drawingml/2006/main">
          <a:off x="12060" y="5080"/>
          <a:ext cx="4091940" cy="503026"/>
        </a:xfrm>
        <a:prstGeom xmlns:a="http://schemas.openxmlformats.org/drawingml/2006/main" prst="roundRect">
          <a:avLst/>
        </a:prstGeom>
        <a:solidFill xmlns:a="http://schemas.openxmlformats.org/drawingml/2006/main">
          <a:srgbClr val="1D4457"/>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kern="1200">
              <a:latin typeface="Cambria Math" panose="02040503050406030204" pitchFamily="18" charset="0"/>
              <a:ea typeface="Cambria Math" panose="02040503050406030204" pitchFamily="18" charset="0"/>
            </a:rPr>
            <a:t>PATIENT</a:t>
          </a:r>
          <a:r>
            <a:rPr lang="en-IN" sz="1400" kern="1200" baseline="0">
              <a:latin typeface="Cambria Math" panose="02040503050406030204" pitchFamily="18" charset="0"/>
              <a:ea typeface="Cambria Math" panose="02040503050406030204" pitchFamily="18" charset="0"/>
            </a:rPr>
            <a:t> DISTRIBUTION BY EXCERCISE FREQUENCY</a:t>
          </a:r>
          <a:endParaRPr lang="en-IN" sz="1400" kern="1200">
            <a:latin typeface="Cambria Math" panose="02040503050406030204" pitchFamily="18" charset="0"/>
            <a:ea typeface="Cambria Math" panose="02040503050406030204" pitchFamily="18"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0.00142</cdr:x>
      <cdr:y>0.00404</cdr:y>
    </cdr:from>
    <cdr:to>
      <cdr:x>0.99892</cdr:x>
      <cdr:y>0.15298</cdr:y>
    </cdr:to>
    <cdr:sp macro="" textlink="">
      <cdr:nvSpPr>
        <cdr:cNvPr id="2" name="Rectangle: Rounded Corners 1">
          <a:extLst xmlns:a="http://schemas.openxmlformats.org/drawingml/2006/main">
            <a:ext uri="{FF2B5EF4-FFF2-40B4-BE49-F238E27FC236}">
              <a16:creationId xmlns:a16="http://schemas.microsoft.com/office/drawing/2014/main" id="{38C2A83C-DC44-1200-BF9C-3FBA48FF6A99}"/>
            </a:ext>
          </a:extLst>
        </cdr:cNvPr>
        <cdr:cNvSpPr/>
      </cdr:nvSpPr>
      <cdr:spPr>
        <a:xfrm xmlns:a="http://schemas.openxmlformats.org/drawingml/2006/main">
          <a:off x="5828" y="13671"/>
          <a:ext cx="4093740" cy="504000"/>
        </a:xfrm>
        <a:prstGeom xmlns:a="http://schemas.openxmlformats.org/drawingml/2006/main" prst="roundRect">
          <a:avLst/>
        </a:prstGeom>
        <a:solidFill xmlns:a="http://schemas.openxmlformats.org/drawingml/2006/main">
          <a:srgbClr val="1D4457"/>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kern="1200">
              <a:latin typeface="Cambria Math" panose="02040503050406030204" pitchFamily="18" charset="0"/>
              <a:ea typeface="Cambria Math" panose="02040503050406030204" pitchFamily="18" charset="0"/>
            </a:rPr>
            <a:t>AVG.</a:t>
          </a:r>
          <a:r>
            <a:rPr lang="en-IN" sz="1400" kern="1200" baseline="0">
              <a:latin typeface="Cambria Math" panose="02040503050406030204" pitchFamily="18" charset="0"/>
              <a:ea typeface="Cambria Math" panose="02040503050406030204" pitchFamily="18" charset="0"/>
            </a:rPr>
            <a:t> INSURANCE CHARGES BY AGE CATEGORY</a:t>
          </a:r>
          <a:endParaRPr lang="en-IN" sz="1400" kern="1200">
            <a:latin typeface="Cambria Math" panose="02040503050406030204" pitchFamily="18" charset="0"/>
            <a:ea typeface="Cambria Math" panose="02040503050406030204" pitchFamily="18"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0.00381</cdr:x>
      <cdr:y>0.0048</cdr:y>
    </cdr:from>
    <cdr:to>
      <cdr:x>0.99855</cdr:x>
      <cdr:y>0.15348</cdr:y>
    </cdr:to>
    <cdr:sp macro="" textlink="">
      <cdr:nvSpPr>
        <cdr:cNvPr id="2" name="Rectangle: Rounded Corners 1">
          <a:extLst xmlns:a="http://schemas.openxmlformats.org/drawingml/2006/main">
            <a:ext uri="{FF2B5EF4-FFF2-40B4-BE49-F238E27FC236}">
              <a16:creationId xmlns:a16="http://schemas.microsoft.com/office/drawing/2014/main" id="{C26E69E7-1FB5-4DDF-C0ED-6479B36B62B7}"/>
            </a:ext>
          </a:extLst>
        </cdr:cNvPr>
        <cdr:cNvSpPr/>
      </cdr:nvSpPr>
      <cdr:spPr>
        <a:xfrm xmlns:a="http://schemas.openxmlformats.org/drawingml/2006/main">
          <a:off x="15636" y="16240"/>
          <a:ext cx="4082400" cy="503026"/>
        </a:xfrm>
        <a:prstGeom xmlns:a="http://schemas.openxmlformats.org/drawingml/2006/main" prst="roundRect">
          <a:avLst/>
        </a:prstGeom>
        <a:solidFill xmlns:a="http://schemas.openxmlformats.org/drawingml/2006/main">
          <a:srgbClr val="1D4457"/>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sz="1400" kern="1200">
              <a:latin typeface="Cambria Math" panose="02040503050406030204" pitchFamily="18" charset="0"/>
              <a:ea typeface="Cambria Math" panose="02040503050406030204" pitchFamily="18" charset="0"/>
            </a:rPr>
            <a:t>SMOKERS</a:t>
          </a:r>
          <a:r>
            <a:rPr lang="en-IN" sz="1400" kern="1200" baseline="0">
              <a:latin typeface="Cambria Math" panose="02040503050406030204" pitchFamily="18" charset="0"/>
              <a:ea typeface="Cambria Math" panose="02040503050406030204" pitchFamily="18" charset="0"/>
            </a:rPr>
            <a:t> BY AGE CATEGORY</a:t>
          </a:r>
          <a:endParaRPr lang="en-IN" sz="1400" kern="1200">
            <a:latin typeface="Cambria Math" panose="02040503050406030204" pitchFamily="18" charset="0"/>
            <a:ea typeface="Cambria Math" panose="020405030504060302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RA H" refreshedDate="46205.554178472223" createdVersion="8" refreshedVersion="8" minRefreshableVersion="3" recordCount="1338" xr:uid="{FD991E54-9390-4C48-8F45-5C08355C38D4}">
  <cacheSource type="worksheet">
    <worksheetSource ref="A1:M1339" sheet="health_insurance_cost_and_risk_"/>
  </cacheSource>
  <cacheFields count="13">
    <cacheField name="Age" numFmtId="0">
      <sharedItems containsSemiMixedTypes="0" containsString="0" containsNumber="1" containsInteger="1" minValue="18" maxValue="64" count="47">
        <n v="19"/>
        <n v="18"/>
        <n v="28"/>
        <n v="33"/>
        <n v="32"/>
        <n v="31"/>
        <n v="46"/>
        <n v="37"/>
        <n v="60"/>
        <n v="25"/>
        <n v="62"/>
        <n v="39"/>
        <n v="56"/>
        <n v="27"/>
        <n v="52"/>
        <n v="23"/>
        <n v="30"/>
        <n v="34"/>
        <n v="59"/>
        <n v="63"/>
        <n v="55"/>
        <n v="22"/>
        <n v="26"/>
        <n v="35"/>
        <n v="24"/>
        <n v="41"/>
        <n v="38"/>
        <n v="36"/>
        <n v="21"/>
        <n v="48"/>
        <n v="40"/>
        <n v="58"/>
        <n v="53"/>
        <n v="43"/>
        <n v="64"/>
        <n v="20"/>
        <n v="61"/>
        <n v="44"/>
        <n v="57"/>
        <n v="29"/>
        <n v="45"/>
        <n v="54"/>
        <n v="49"/>
        <n v="47"/>
        <n v="51"/>
        <n v="42"/>
        <n v="50"/>
      </sharedItems>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ount="1337">
        <n v="16884.923999999999"/>
        <n v="1725.5523000000001"/>
        <n v="4449.4620000000004"/>
        <n v="21984.47061"/>
        <n v="3866.8552"/>
        <n v="3756.6215999999999"/>
        <n v="8240.5895999999993"/>
        <n v="7281.5056000000004"/>
        <n v="6406.4107000000004"/>
        <n v="28923.136920000001"/>
        <n v="2721.3208"/>
        <n v="27808.7251"/>
        <n v="1826.8430000000001"/>
        <n v="11090.7178"/>
        <n v="39611.757700000002"/>
        <n v="1837.2370000000001"/>
        <n v="10797.3362"/>
        <n v="2395.17155"/>
        <n v="10602.385"/>
        <n v="36837.466999999997"/>
        <n v="13228.846949999999"/>
        <n v="4149.7359999999999"/>
        <n v="1137.011"/>
        <n v="37701.876799999998"/>
        <n v="6203.90175"/>
        <n v="14001.1338"/>
        <n v="14451.835150000001"/>
        <n v="12268.632250000001"/>
        <n v="2775.1921499999999"/>
        <n v="38711"/>
        <n v="35585.576000000001"/>
        <n v="2198.1898500000002"/>
        <n v="4687.7969999999996"/>
        <n v="13770.097900000001"/>
        <n v="51194.559139999998"/>
        <n v="1625.4337499999999"/>
        <n v="15612.19335"/>
        <n v="2302.3000000000002"/>
        <n v="39774.276299999998"/>
        <n v="48173.360999999997"/>
        <n v="3046.0619999999999"/>
        <n v="4949.7587000000003"/>
        <n v="6272.4772000000003"/>
        <n v="6313.759"/>
        <n v="6079.6715000000004"/>
        <n v="20630.283510000001"/>
        <n v="3393.35635"/>
        <n v="3556.9223000000002"/>
        <n v="12629.896699999999"/>
        <n v="38709.175999999999"/>
        <n v="2211.1307499999998"/>
        <n v="3579.8287"/>
        <n v="23568.272000000001"/>
        <n v="37742.575700000001"/>
        <n v="8059.6791000000003"/>
        <n v="47496.494449999998"/>
        <n v="13607.36875"/>
        <n v="34303.167200000004"/>
        <n v="23244.790199999999"/>
        <n v="5989.5236500000001"/>
        <n v="8606.2173999999995"/>
        <n v="4504.6624000000002"/>
        <n v="30166.618170000002"/>
        <n v="4133.6416499999996"/>
        <n v="14711.7438"/>
        <n v="1743.2139999999999"/>
        <n v="14235.072"/>
        <n v="6389.3778499999999"/>
        <n v="5920.1040999999996"/>
        <n v="17663.144199999999"/>
        <n v="16577.779500000001"/>
        <n v="6799.4579999999996"/>
        <n v="11741.726000000001"/>
        <n v="11946.625899999999"/>
        <n v="7726.8540000000003"/>
        <n v="11356.660900000001"/>
        <n v="3947.4131000000002"/>
        <n v="1532.4697000000001"/>
        <n v="2755.0209500000001"/>
        <n v="6571.0243499999997"/>
        <n v="4441.2131499999996"/>
        <n v="7935.29115"/>
        <n v="37165.163800000002"/>
        <n v="11033.661700000001"/>
        <n v="39836.519"/>
        <n v="21098.554049999999"/>
        <n v="43578.939400000003"/>
        <n v="11073.175999999999"/>
        <n v="8026.6665999999996"/>
        <n v="11082.5772"/>
        <n v="2026.9740999999999"/>
        <n v="10942.13205"/>
        <n v="30184.936699999998"/>
        <n v="5729.0052999999998"/>
        <n v="47291.055"/>
        <n v="3766.8838000000001"/>
        <n v="12105.32"/>
        <n v="10226.2842"/>
        <n v="22412.648499999999"/>
        <n v="15820.699000000001"/>
        <n v="6186.1270000000004"/>
        <n v="3645.0893999999998"/>
        <n v="21344.846699999998"/>
        <n v="30942.191800000001"/>
        <n v="5003.8530000000001"/>
        <n v="17560.37975"/>
        <n v="2331.5189999999998"/>
        <n v="3877.3042500000001"/>
        <n v="2867.1196"/>
        <n v="47055.532099999997"/>
        <n v="10825.253699999999"/>
        <n v="11881.358"/>
        <n v="4646.759"/>
        <n v="2404.7338"/>
        <n v="11488.31695"/>
        <n v="30259.995559999999"/>
        <n v="11381.3254"/>
        <n v="19107.779600000002"/>
        <n v="8601.3292999999994"/>
        <n v="6686.4313000000002"/>
        <n v="7740.3370000000004"/>
        <n v="1705.6244999999999"/>
        <n v="2257.47525"/>
        <n v="39556.494500000001"/>
        <n v="10115.00885"/>
        <n v="3385.3991500000002"/>
        <n v="17081.080000000002"/>
        <n v="9634.5380000000005"/>
        <n v="32734.186300000001"/>
        <n v="6082.4049999999997"/>
        <n v="12815.444949999999"/>
        <n v="13616.3586"/>
        <n v="11163.567999999999"/>
        <n v="1632.5644500000001"/>
        <n v="2457.2111500000001"/>
        <n v="2155.6815000000001"/>
        <n v="1261.442"/>
        <n v="2045.68525"/>
        <n v="27322.73386"/>
        <n v="2166.732"/>
        <n v="27375.904780000001"/>
        <n v="3490.5491000000002"/>
        <n v="18972.494999999999"/>
        <n v="18157.876"/>
        <n v="20745.989099999999"/>
        <n v="5138.2566999999999"/>
        <n v="40720.551050000002"/>
        <n v="9877.6077000000005"/>
        <n v="10959.6947"/>
        <n v="1842.519"/>
        <n v="5125.2156999999997"/>
        <n v="7789.6350000000002"/>
        <n v="6334.3435499999996"/>
        <n v="19964.746299999999"/>
        <n v="7077.1894000000002"/>
        <n v="6948.7007999999996"/>
        <n v="21223.675800000001"/>
        <n v="15518.180249999999"/>
        <n v="36950.256699999998"/>
        <n v="19749.383379999999"/>
        <n v="21348.705999999998"/>
        <n v="36149.483500000002"/>
        <n v="10450.552"/>
        <n v="5152.134"/>
        <n v="5028.1466"/>
        <n v="10407.085849999999"/>
        <n v="4830.63"/>
        <n v="6128.79745"/>
        <n v="2719.2797500000001"/>
        <n v="4827.9049500000001"/>
        <n v="13405.390299999999"/>
        <n v="8116.68"/>
        <n v="1694.7963999999999"/>
        <n v="5246.0469999999996"/>
        <n v="2855.4375500000001"/>
        <n v="48824.45"/>
        <n v="6455.86265"/>
        <n v="10436.096"/>
        <n v="8823.2790000000005"/>
        <n v="8538.28845"/>
        <n v="11735.87905"/>
        <n v="1631.8212000000001"/>
        <n v="4005.4225000000001"/>
        <n v="7419.4778999999999"/>
        <n v="7731.4270999999999"/>
        <n v="43753.337050000002"/>
        <n v="3981.9767999999999"/>
        <n v="5325.6509999999998"/>
        <n v="6775.9610000000002"/>
        <n v="4922.9159"/>
        <n v="12557.605299999999"/>
        <n v="4883.866"/>
        <n v="2137.6536000000001"/>
        <n v="12044.342000000001"/>
        <n v="1137.4697000000001"/>
        <n v="1639.5631000000001"/>
        <n v="5649.7150000000001"/>
        <n v="8516.8289999999997"/>
        <n v="9644.2525000000005"/>
        <n v="14901.5167"/>
        <n v="2130.6759000000002"/>
        <n v="8871.1517000000003"/>
        <n v="13012.20865"/>
        <n v="37133.898200000003"/>
        <n v="7147.1049999999996"/>
        <n v="4337.7352000000001"/>
        <n v="11743.299000000001"/>
        <n v="20984.0936"/>
        <n v="13880.949000000001"/>
        <n v="6610.1097"/>
        <n v="1980.07"/>
        <n v="8162.7162500000004"/>
        <n v="3537.703"/>
        <n v="5002.7826999999997"/>
        <n v="8520.0259999999998"/>
        <n v="7371.7719999999999"/>
        <n v="10355.641"/>
        <n v="2483.7359999999999"/>
        <n v="3392.9767999999999"/>
        <n v="25081.76784"/>
        <n v="5012.4709999999995"/>
        <n v="10564.8845"/>
        <n v="5253.5240000000003"/>
        <n v="34779.614999999998"/>
        <n v="19515.5416"/>
        <n v="11987.1682"/>
        <n v="2689.4953999999998"/>
        <n v="24227.337240000001"/>
        <n v="7358.1756500000001"/>
        <n v="9225.2564000000002"/>
        <n v="7443.6430499999997"/>
        <n v="14001.286700000001"/>
        <n v="1727.7850000000001"/>
        <n v="12333.828"/>
        <n v="6710.1918999999998"/>
        <n v="19444.265800000001"/>
        <n v="1615.7666999999999"/>
        <n v="4463.2051000000001"/>
        <n v="17352.6803"/>
        <n v="7152.6714000000002"/>
        <n v="38511.628299999997"/>
        <n v="5354.0746499999996"/>
        <n v="35160.134570000002"/>
        <n v="7196.8670000000002"/>
        <n v="29523.1656"/>
        <n v="24476.478510000001"/>
        <n v="12648.7034"/>
        <n v="1986.9333999999999"/>
        <n v="1832.0940000000001"/>
        <n v="4040.55825"/>
        <n v="12829.455099999999"/>
        <n v="47305.305"/>
        <n v="44260.749900000003"/>
        <n v="4260.7439999999997"/>
        <n v="41097.161749999999"/>
        <n v="13047.332350000001"/>
        <n v="43921.183700000001"/>
        <n v="5400.9804999999997"/>
        <n v="11520.099850000001"/>
        <n v="33750.291799999999"/>
        <n v="11837.16"/>
        <n v="17085.267599999999"/>
        <n v="24869.836800000001"/>
        <n v="36219.405449999998"/>
        <n v="20462.997660000001"/>
        <n v="46151.124499999998"/>
        <n v="17179.522000000001"/>
        <n v="14590.63205"/>
        <n v="7441.0529999999999"/>
        <n v="9282.4806000000008"/>
        <n v="1719.4363000000001"/>
        <n v="42856.838000000003"/>
        <n v="7265.7025000000003"/>
        <n v="9617.6624499999998"/>
        <n v="2523.1695"/>
        <n v="9715.8410000000003"/>
        <n v="2803.69785"/>
        <n v="2150.4690000000001"/>
        <n v="12928.7911"/>
        <n v="9855.1314000000002"/>
        <n v="22331.566800000001"/>
        <n v="48549.178350000002"/>
        <n v="4237.12655"/>
        <n v="11879.10405"/>
        <n v="9625.92"/>
        <n v="7742.1098000000002"/>
        <n v="9432.9253000000008"/>
        <n v="14256.192800000001"/>
        <n v="47896.79135"/>
        <n v="25992.821039999999"/>
        <n v="3172.018"/>
        <n v="20277.807509999999"/>
        <n v="42112.2356"/>
        <n v="2156.7518"/>
        <n v="3906.127"/>
        <n v="1704.5681"/>
        <n v="16297.846"/>
        <n v="21978.676899999999"/>
        <n v="38746.355100000001"/>
        <n v="9249.4951999999994"/>
        <n v="6746.7425000000003"/>
        <n v="24873.384900000001"/>
        <n v="12265.5069"/>
        <n v="4349.4620000000004"/>
        <n v="12646.207"/>
        <n v="19442.353500000001"/>
        <n v="20177.671129999999"/>
        <n v="4151.0286999999998"/>
        <n v="11944.594349999999"/>
        <n v="7749.1563999999998"/>
        <n v="8444.4740000000002"/>
        <n v="1737.376"/>
        <n v="42124.515299999999"/>
        <n v="8124.4084000000003"/>
        <n v="34838.873"/>
        <n v="9722.7695000000003"/>
        <n v="8835.2649500000007"/>
        <n v="10435.06525"/>
        <n v="7421.1945500000002"/>
        <n v="4667.6076499999999"/>
        <n v="4894.7533000000003"/>
        <n v="24671.663339999999"/>
        <n v="35491.64"/>
        <n v="11566.30055"/>
        <n v="2866.0909999999999"/>
        <n v="6600.2059499999996"/>
        <n v="3561.8888999999999"/>
        <n v="42760.502200000003"/>
        <n v="47928.03"/>
        <n v="9144.5650000000005"/>
        <n v="48517.563150000002"/>
        <n v="24393.6224"/>
        <n v="13429.035400000001"/>
        <n v="11658.379150000001"/>
        <n v="19144.576519999999"/>
        <n v="13822.803"/>
        <n v="12142.578600000001"/>
        <n v="13937.666499999999"/>
        <n v="41919.097000000002"/>
        <n v="8232.6388000000006"/>
        <n v="18955.220170000001"/>
        <n v="13352.0998"/>
        <n v="13217.094499999999"/>
        <n v="13981.850350000001"/>
        <n v="10977.2063"/>
        <n v="6184.2993999999999"/>
        <n v="4889.9994999999999"/>
        <n v="8334.4575499999992"/>
        <n v="5478.0367999999999"/>
        <n v="1635.7336499999999"/>
        <n v="11830.6072"/>
        <n v="8932.0840000000007"/>
        <n v="3554.203"/>
        <n v="12404.8791"/>
        <n v="14133.03775"/>
        <n v="24603.04837"/>
        <n v="8944.1151000000009"/>
        <n v="9620.3307000000004"/>
        <n v="1837.2819"/>
        <n v="1607.5101"/>
        <n v="10043.249"/>
        <n v="4751.07"/>
        <n v="13844.505999999999"/>
        <n v="2597.779"/>
        <n v="3180.5101"/>
        <n v="9778.3472000000002"/>
        <n v="13430.264999999999"/>
        <n v="8017.0611500000005"/>
        <n v="8116.2688500000004"/>
        <n v="3481.8679999999999"/>
        <n v="13415.0381"/>
        <n v="12029.286700000001"/>
        <n v="7639.4174499999999"/>
        <n v="36085.218999999997"/>
        <n v="1391.5287000000001"/>
        <n v="18033.9679"/>
        <n v="21659.930100000001"/>
        <n v="38126.246500000001"/>
        <n v="16455.707849999999"/>
        <n v="27000.98473"/>
        <n v="15006.579449999999"/>
        <n v="42303.692150000003"/>
        <n v="20781.48892"/>
        <n v="5846.9175999999998"/>
        <n v="8302.5356499999998"/>
        <n v="1261.8589999999999"/>
        <n v="11856.4115"/>
        <n v="30284.642940000002"/>
        <n v="3176.8159000000001"/>
        <n v="4618.0798999999997"/>
        <n v="10736.87075"/>
        <n v="2138.0707000000002"/>
        <n v="8964.0605500000001"/>
        <n v="9290.1394999999993"/>
        <n v="9411.0049999999992"/>
        <n v="7526.7064499999997"/>
        <n v="8522.0030000000006"/>
        <n v="16586.49771"/>
        <n v="14988.432000000001"/>
        <n v="1631.6683"/>
        <n v="9264.7970000000005"/>
        <n v="8083.9197999999997"/>
        <n v="14692.66935"/>
        <n v="10269.459999999999"/>
        <n v="3260.1990000000001"/>
        <n v="11396.9002"/>
        <n v="4185.0978999999998"/>
        <n v="8539.6710000000003"/>
        <n v="6652.5288"/>
        <n v="4074.4537"/>
        <n v="1621.3402000000001"/>
        <n v="19594.809649999999"/>
        <n v="14455.644050000001"/>
        <n v="5080.0959999999995"/>
        <n v="2134.9014999999999"/>
        <n v="7345.7266"/>
        <n v="9140.9509999999991"/>
        <n v="18608.261999999999"/>
        <n v="14418.2804"/>
        <n v="28950.4692"/>
        <n v="46889.261200000001"/>
        <n v="46599.108399999997"/>
        <n v="39125.332249999999"/>
        <n v="2727.3951000000002"/>
        <n v="8968.33"/>
        <n v="9788.8659000000007"/>
        <n v="6555.07035"/>
        <n v="7323.7348190000002"/>
        <n v="3167.4558499999998"/>
        <n v="18804.752400000001"/>
        <n v="23082.955330000001"/>
        <n v="4906.4096499999996"/>
        <n v="5969.723"/>
        <n v="12638.195"/>
        <n v="4243.5900499999998"/>
        <n v="13919.822899999999"/>
        <n v="2254.7966999999999"/>
        <n v="5926.8459999999995"/>
        <n v="12592.5345"/>
        <n v="2897.3235"/>
        <n v="4738.2682000000004"/>
        <n v="37079.372000000003"/>
        <n v="1149.3959"/>
        <n v="28287.897659999999"/>
        <n v="26109.32905"/>
        <n v="7345.0839999999998"/>
        <n v="12730.999599999999"/>
        <n v="11454.021500000001"/>
        <n v="5910.9440000000004"/>
        <n v="4762.3289999999997"/>
        <n v="7512.2669999999998"/>
        <n v="4032.2406999999998"/>
        <n v="1969.614"/>
        <n v="1769.5316499999999"/>
        <n v="4686.3887000000004"/>
        <n v="21797.000400000001"/>
        <n v="11881.9696"/>
        <n v="11840.77505"/>
        <n v="10601.412"/>
        <n v="7682.67"/>
        <n v="10381.4787"/>
        <n v="22144.031999999999"/>
        <n v="15230.324049999999"/>
        <n v="11165.417649999999"/>
        <n v="1632.0362500000001"/>
        <n v="19521.968199999999"/>
        <n v="13224.692999999999"/>
        <n v="12643.3778"/>
        <n v="23288.928400000001"/>
        <n v="2201.0971"/>
        <n v="2497.0383000000002"/>
        <n v="2203.4718499999999"/>
        <n v="1744.4649999999999"/>
        <n v="20878.78443"/>
        <n v="25382.296999999999"/>
        <n v="28868.6639"/>
        <n v="35147.528480000001"/>
        <n v="2534.3937500000002"/>
        <n v="1534.3045"/>
        <n v="1824.2854"/>
        <n v="15555.188749999999"/>
        <n v="9304.7019"/>
        <n v="1622.1885"/>
        <n v="9880.0679999999993"/>
        <n v="9563.0290000000005"/>
        <n v="4347.0233500000004"/>
        <n v="12475.3513"/>
        <n v="1253.9359999999999"/>
        <n v="48885.135609999998"/>
        <n v="10461.9794"/>
        <n v="1748.7739999999999"/>
        <n v="24513.091260000001"/>
        <n v="2196.4731999999999"/>
        <n v="12574.049000000001"/>
        <n v="17942.106"/>
        <n v="1967.0227"/>
        <n v="4931.6469999999999"/>
        <n v="8027.9679999999998"/>
        <n v="8211.1002000000008"/>
        <n v="13470.86"/>
        <n v="36197.699000000001"/>
        <n v="6837.3687"/>
        <n v="22218.1149"/>
        <n v="32548.340499999998"/>
        <n v="5974.3846999999996"/>
        <n v="6796.8632500000003"/>
        <n v="2643.2685000000001"/>
        <n v="3077.0954999999999"/>
        <n v="3044.2132999999999"/>
        <n v="11455.28"/>
        <n v="11763.000899999999"/>
        <n v="2498.4144000000001"/>
        <n v="9361.3268000000007"/>
        <n v="1256.299"/>
        <n v="21082.16"/>
        <n v="11362.754999999999"/>
        <n v="27724.28875"/>
        <n v="8413.4630500000003"/>
        <n v="5240.7650000000003"/>
        <n v="3857.7592500000001"/>
        <n v="25656.575260000001"/>
        <n v="3994.1777999999999"/>
        <n v="9866.3048500000004"/>
        <n v="5397.6166999999996"/>
        <n v="38245.593269999998"/>
        <n v="11482.63485"/>
        <n v="24059.680189999999"/>
        <n v="9861.0249999999996"/>
        <n v="8342.9087500000005"/>
        <n v="1708.0014000000001"/>
        <n v="48675.517699999997"/>
        <n v="14043.476699999999"/>
        <n v="12925.886"/>
        <n v="19214.705529999999"/>
        <n v="13831.1152"/>
        <n v="6067.1267500000004"/>
        <n v="5972.3779999999997"/>
        <n v="8825.0859999999993"/>
        <n v="8233.0974999999999"/>
        <n v="27346.04207"/>
        <n v="6196.4480000000003"/>
        <n v="3056.3881000000001"/>
        <n v="13887.204"/>
        <n v="63770.428010000003"/>
        <n v="10231.499900000001"/>
        <n v="23807.240600000001"/>
        <n v="3268.84665"/>
        <n v="11538.421"/>
        <n v="3213.6220499999999"/>
        <n v="45863.205000000002"/>
        <n v="13390.558999999999"/>
        <n v="3972.9247"/>
        <n v="12957.118"/>
        <n v="11187.6567"/>
        <n v="17878.900679999999"/>
        <n v="3847.674"/>
        <n v="8334.5895999999993"/>
        <n v="3935.1799000000001"/>
        <n v="39983.425949999997"/>
        <n v="1646.4296999999999"/>
        <n v="9193.8384999999998"/>
        <n v="10923.933199999999"/>
        <n v="2494.0219999999999"/>
        <n v="9058.7302999999993"/>
        <n v="2801.2588000000001"/>
        <n v="2128.4310500000001"/>
        <n v="6373.55735"/>
        <n v="7256.7231000000002"/>
        <n v="11552.904"/>
        <n v="45702.022349999999"/>
        <n v="3761.2919999999999"/>
        <n v="2219.4450999999999"/>
        <n v="4753.6368000000002"/>
        <n v="31620.001059999999"/>
        <n v="13224.057049999999"/>
        <n v="12222.898300000001"/>
        <n v="1664.9996000000001"/>
        <n v="58571.074480000003"/>
        <n v="9724.5300000000007"/>
        <n v="3206.4913499999998"/>
        <n v="12913.992399999999"/>
        <n v="6356.2707"/>
        <n v="17626.239509999999"/>
        <n v="1242.816"/>
        <n v="4779.6022999999996"/>
        <n v="3861.2096499999998"/>
        <n v="43943.876100000001"/>
        <n v="13635.6379"/>
        <n v="5976.8311000000003"/>
        <n v="11842.441999999999"/>
        <n v="8428.0692999999992"/>
        <n v="2566.4706999999999"/>
        <n v="15359.104499999999"/>
        <n v="5709.1643999999997"/>
        <n v="8823.9857499999998"/>
        <n v="7640.3091999999997"/>
        <n v="5594.8455000000004"/>
        <n v="7441.5010000000002"/>
        <n v="33471.971890000001"/>
        <n v="1633.0444"/>
        <n v="9174.1356500000002"/>
        <n v="11070.535"/>
        <n v="16085.127500000001"/>
        <n v="17468.983899999999"/>
        <n v="9283.5619999999999"/>
        <n v="3558.6202499999999"/>
        <n v="25678.778450000002"/>
        <n v="4435.0941999999995"/>
        <n v="39241.442000000003"/>
        <n v="8547.6913000000004"/>
        <n v="6571.5439999999999"/>
        <n v="2207.6974500000001"/>
        <n v="6753.0379999999996"/>
        <n v="1880.07"/>
        <n v="42969.852700000003"/>
        <n v="11658.11505"/>
        <n v="23306.546999999999"/>
        <n v="34439.855900000002"/>
        <n v="10713.644"/>
        <n v="3659.346"/>
        <n v="40182.245999999999"/>
        <n v="9182.17"/>
        <n v="34617.840649999998"/>
        <n v="12129.614149999999"/>
        <n v="3736.4647"/>
        <n v="6748.5911999999998"/>
        <n v="11326.71487"/>
        <n v="11365.951999999999"/>
        <n v="42983.458500000001"/>
        <n v="10085.846"/>
        <n v="1977.8150000000001"/>
        <n v="3366.6696999999999"/>
        <n v="7173.35995"/>
        <n v="9391.3459999999995"/>
        <n v="14410.9321"/>
        <n v="2709.1118999999999"/>
        <n v="24915.046259999999"/>
        <n v="20149.322899999999"/>
        <n v="12949.1554"/>
        <n v="6666.2430000000004"/>
        <n v="32787.458590000002"/>
        <n v="13143.86485"/>
        <n v="4466.6214"/>
        <n v="18806.145469999999"/>
        <n v="10141.136200000001"/>
        <n v="6123.5688"/>
        <n v="8252.2842999999993"/>
        <n v="1712.2270000000001"/>
        <n v="12430.95335"/>
        <n v="9800.8881999999994"/>
        <n v="10579.710999999999"/>
        <n v="8280.6226999999999"/>
        <n v="8527.5319999999992"/>
        <n v="12244.531000000001"/>
        <n v="24667.419000000002"/>
        <n v="3410.3240000000001"/>
        <n v="4058.71245"/>
        <n v="26392.260289999998"/>
        <n v="14394.398150000001"/>
        <n v="6435.6237000000001"/>
        <n v="22192.437109999999"/>
        <n v="5148.5526"/>
        <n v="1136.3994"/>
        <n v="27037.914100000002"/>
        <n v="42560.430399999997"/>
        <n v="8703.4560000000001"/>
        <n v="40003.332249999999"/>
        <n v="45710.207849999999"/>
        <n v="6500.2358999999997"/>
        <n v="4837.5823"/>
        <n v="3943.5954000000002"/>
        <n v="4399.7309999999998"/>
        <n v="6185.3208000000004"/>
        <n v="46200.985099999998"/>
        <n v="7222.7862500000001"/>
        <n v="12485.8009"/>
        <n v="46130.5265"/>
        <n v="12363.547"/>
        <n v="10156.7832"/>
        <n v="2585.2689999999998"/>
        <n v="1242.26"/>
        <n v="40103.89"/>
        <n v="9863.4717999999993"/>
        <n v="4766.0219999999999"/>
        <n v="11244.376899999999"/>
        <n v="7729.6457499999997"/>
        <n v="5438.7491"/>
        <n v="26236.579969999999"/>
        <n v="34806.467700000001"/>
        <n v="2104.1134000000002"/>
        <n v="8068.1850000000004"/>
        <n v="2362.2290499999999"/>
        <n v="2352.9684499999998"/>
        <n v="3577.9989999999998"/>
        <n v="3201.2451500000002"/>
        <n v="29186.482360000002"/>
        <n v="40273.645499999999"/>
        <n v="10976.24575"/>
        <n v="3500.6122999999998"/>
        <n v="2020.5523000000001"/>
        <n v="9541.6955500000004"/>
        <n v="9504.3102999999992"/>
        <n v="5385.3379000000004"/>
        <n v="8930.9345499999999"/>
        <n v="5375.0379999999996"/>
        <n v="44400.4064"/>
        <n v="10264.4421"/>
        <n v="6113.2310500000003"/>
        <n v="5469.0065999999997"/>
        <n v="1727.54"/>
        <n v="10107.220600000001"/>
        <n v="8310.8391499999998"/>
        <n v="1984.4532999999999"/>
        <n v="2457.502"/>
        <n v="12146.971"/>
        <n v="9566.9909000000007"/>
        <n v="13112.604799999999"/>
        <n v="10848.1343"/>
        <n v="12231.613600000001"/>
        <n v="9875.6803999999993"/>
        <n v="11264.540999999999"/>
        <n v="12979.358"/>
        <n v="1263.249"/>
        <n v="10106.134249999999"/>
        <n v="40932.429499999998"/>
        <n v="6664.68595"/>
        <n v="16657.71745"/>
        <n v="2217.6012000000001"/>
        <n v="6781.3541999999998"/>
        <n v="19361.998800000001"/>
        <n v="10065.413"/>
        <n v="4234.9269999999997"/>
        <n v="9447.2503500000003"/>
        <n v="14007.222"/>
        <n v="9583.8932999999997"/>
        <n v="40419.019099999998"/>
        <n v="3484.3310000000001"/>
        <n v="36189.101699999999"/>
        <n v="44585.455869999998"/>
        <n v="8604.4836500000001"/>
        <n v="18246.495500000001"/>
        <n v="43254.417950000003"/>
        <n v="3757.8447999999999"/>
        <n v="8827.2098999999998"/>
        <n v="9910.3598500000007"/>
        <n v="11737.848840000001"/>
        <n v="1627.2824499999999"/>
        <n v="8556.9069999999992"/>
        <n v="3062.5082499999999"/>
        <n v="19539.242999999999"/>
        <n v="1906.35825"/>
        <n v="14210.53595"/>
        <n v="11833.782300000001"/>
        <n v="17128.426080000001"/>
        <n v="5031.26955"/>
        <n v="7985.8149999999996"/>
        <n v="23065.420699999999"/>
        <n v="5428.7277000000004"/>
        <n v="36307.798300000002"/>
        <n v="3925.7582000000002"/>
        <n v="2416.9549999999999"/>
        <n v="19040.876"/>
        <n v="3070.8087"/>
        <n v="9095.0682500000003"/>
        <n v="11842.623750000001"/>
        <n v="8062.7640000000001"/>
        <n v="7050.6419999999998"/>
        <n v="14319.031000000001"/>
        <n v="6933.2422500000002"/>
        <n v="27941.28758"/>
        <n v="11150.78"/>
        <n v="12797.20962"/>
        <n v="17748.5062"/>
        <n v="7261.741"/>
        <n v="10560.4917"/>
        <n v="6986.6970000000001"/>
        <n v="7448.4039499999999"/>
        <n v="5934.3797999999997"/>
        <n v="9869.8101999999999"/>
        <n v="18259.216"/>
        <n v="1146.7965999999999"/>
        <n v="9386.1612999999998"/>
        <n v="24520.263999999999"/>
        <n v="4350.5144"/>
        <n v="6414.1779999999999"/>
        <n v="12741.167450000001"/>
        <n v="1917.3184000000001"/>
        <n v="5209.5788499999999"/>
        <n v="13457.960800000001"/>
        <n v="5662.2250000000004"/>
        <n v="1252.4069999999999"/>
        <n v="2731.9122000000002"/>
        <n v="21195.817999999999"/>
        <n v="7209.4917999999998"/>
        <n v="18310.741999999998"/>
        <n v="4266.1657999999998"/>
        <n v="4719.52405"/>
        <n v="11848.141"/>
        <n v="17904.527050000001"/>
        <n v="7046.7222000000002"/>
        <n v="14313.846299999999"/>
        <n v="2103.08"/>
        <n v="38792.685599999997"/>
        <n v="1815.8759"/>
        <n v="7731.8578500000003"/>
        <n v="28476.734990000001"/>
        <n v="2136.8822500000001"/>
        <n v="1131.5065999999999"/>
        <n v="3309.7926000000002"/>
        <n v="9414.92"/>
        <n v="6360.9935999999998"/>
        <n v="11013.7119"/>
        <n v="4428.8878500000001"/>
        <n v="5584.3056999999999"/>
        <n v="1877.9294"/>
        <n v="2842.7607499999999"/>
        <n v="3597.596"/>
        <n v="23401.30575"/>
        <n v="55135.402090000003"/>
        <n v="7445.9179999999997"/>
        <n v="2680.9493000000002"/>
        <n v="1621.8827000000001"/>
        <n v="8219.2039000000004"/>
        <n v="12523.604799999999"/>
        <n v="16069.08475"/>
        <n v="43813.866099999999"/>
        <n v="20773.62775"/>
        <n v="39597.407200000001"/>
        <n v="6117.4944999999998"/>
        <n v="13393.755999999999"/>
        <n v="5266.3656000000001"/>
        <n v="4719.7365499999996"/>
        <n v="11743.9341"/>
        <n v="5377.4578000000001"/>
        <n v="7160.3302999999996"/>
        <n v="4402.2330000000002"/>
        <n v="11657.7189"/>
        <n v="6402.2913500000004"/>
        <n v="12622.1795"/>
        <n v="1526.3119999999999"/>
        <n v="12323.936"/>
        <n v="36021.011200000001"/>
        <n v="27533.912899999999"/>
        <n v="10072.055050000001"/>
        <n v="45008.955499999996"/>
        <n v="9872.7009999999991"/>
        <n v="2438.0551999999998"/>
        <n v="2974.1260000000002"/>
        <n v="10601.632250000001"/>
        <n v="37270.1512"/>
        <n v="14119.62"/>
        <n v="42111.664700000001"/>
        <n v="11729.6795"/>
        <n v="24106.912550000001"/>
        <n v="1875.3440000000001"/>
        <n v="40974.164900000003"/>
        <n v="15817.985699999999"/>
        <n v="18218.161390000001"/>
        <n v="10965.446"/>
        <n v="46113.510999999999"/>
        <n v="7151.0919999999996"/>
        <n v="12269.68865"/>
        <n v="5458.0464499999998"/>
        <n v="8782.4689999999991"/>
        <n v="6600.3609999999999"/>
        <n v="1141.4450999999999"/>
        <n v="11576.13"/>
        <n v="13129.603450000001"/>
        <n v="4391.652"/>
        <n v="8457.8179999999993"/>
        <n v="3392.3652000000002"/>
        <n v="5966.8873999999996"/>
        <n v="6849.0259999999998"/>
        <n v="8891.1394999999993"/>
        <n v="2690.1138000000001"/>
        <n v="26140.3603"/>
        <n v="6653.7885999999999"/>
        <n v="6282.2349999999997"/>
        <n v="6311.9520000000002"/>
        <n v="3443.0639999999999"/>
        <n v="2789.0574000000001"/>
        <n v="2585.8506499999999"/>
        <n v="46255.112500000003"/>
        <n v="4877.9810500000003"/>
        <n v="19719.6947"/>
        <n v="27218.437249999999"/>
        <n v="5272.1758"/>
        <n v="1682.597"/>
        <n v="11945.1327"/>
        <n v="29330.98315"/>
        <n v="7243.8136000000004"/>
        <n v="10422.916649999999"/>
        <n v="44202.653599999998"/>
        <n v="13555.0049"/>
        <n v="13063.883"/>
        <n v="19798.054550000001"/>
        <n v="2221.5644499999999"/>
        <n v="1634.5734"/>
        <n v="2117.3388500000001"/>
        <n v="8688.8588500000005"/>
        <n v="48673.558799999999"/>
        <n v="4661.2863500000003"/>
        <n v="8125.7844999999998"/>
        <n v="12644.589"/>
        <n v="4564.1914500000003"/>
        <n v="4846.9201499999999"/>
        <n v="7633.7205999999996"/>
        <n v="15170.069"/>
        <n v="17496.306"/>
        <n v="2639.0428999999999"/>
        <n v="33732.686699999998"/>
        <n v="14382.709049999999"/>
        <n v="7626.9930000000004"/>
        <n v="5257.5079500000002"/>
        <n v="2473.3341"/>
        <n v="21774.32215"/>
        <n v="35069.374519999998"/>
        <n v="13041.921"/>
        <n v="5245.2268999999997"/>
        <n v="13451.121999999999"/>
        <n v="13462.52"/>
        <n v="5488.2619999999997"/>
        <n v="4320.4108500000002"/>
        <n v="6250.4350000000004"/>
        <n v="25333.332839999999"/>
        <n v="2913.569"/>
        <n v="12032.325999999999"/>
        <n v="13470.804400000001"/>
        <n v="6289.7548999999999"/>
        <n v="2927.0646999999999"/>
        <n v="6238.2979999999998"/>
        <n v="10096.969999999999"/>
        <n v="7348.1419999999998"/>
        <n v="4673.3922000000002"/>
        <n v="12233.828"/>
        <n v="32108.662820000001"/>
        <n v="8965.7957499999993"/>
        <n v="2304.0021999999999"/>
        <n v="9487.6442000000006"/>
        <n v="1121.8739"/>
        <n v="9549.5650999999998"/>
        <n v="2217.4691499999999"/>
        <n v="1628.4709"/>
        <n v="12982.8747"/>
        <n v="11674.13"/>
        <n v="7160.0940000000001"/>
        <n v="39047.285000000003"/>
        <n v="6358.7764500000003"/>
        <n v="19933.457999999999"/>
        <n v="11534.872649999999"/>
        <n v="47462.894"/>
        <n v="4527.1829500000003"/>
        <n v="38998.546000000002"/>
        <n v="20009.63365"/>
        <n v="3875.7341000000001"/>
        <n v="41999.519999999997"/>
        <n v="12609.88702"/>
        <n v="41034.221400000002"/>
        <n v="28468.919010000001"/>
        <n v="2730.1078499999999"/>
        <n v="3353.2840000000001"/>
        <n v="14474.674999999999"/>
        <n v="9500.5730500000009"/>
        <n v="26467.09737"/>
        <n v="4746.3440000000001"/>
        <n v="23967.38305"/>
        <n v="7518.0253499999999"/>
        <n v="3279.8685500000001"/>
        <n v="8596.8277999999991"/>
        <n v="10702.642400000001"/>
        <n v="4992.3764000000001"/>
        <n v="2527.8186500000002"/>
        <n v="1759.338"/>
        <n v="2322.6217999999999"/>
        <n v="16138.762049999999"/>
        <n v="7804.1605"/>
        <n v="2902.9065000000001"/>
        <n v="9704.6680500000002"/>
        <n v="4889.0367999999999"/>
        <n v="25517.11363"/>
        <n v="4500.33925"/>
        <n v="19199.944"/>
        <n v="16796.411940000002"/>
        <n v="4915.0598499999996"/>
        <n v="7624.63"/>
        <n v="8410.0468500000006"/>
        <n v="28340.188849999999"/>
        <n v="4518.8262500000001"/>
        <n v="14571.890799999999"/>
        <n v="3378.91"/>
        <n v="7144.86265"/>
        <n v="10118.424000000001"/>
        <n v="5484.4673000000003"/>
        <n v="16420.494549999999"/>
        <n v="7986.4752500000004"/>
        <n v="7418.5219999999999"/>
        <n v="13887.968500000001"/>
        <n v="6551.7501000000002"/>
        <n v="5267.8181500000001"/>
        <n v="17361.766100000001"/>
        <n v="34472.841"/>
        <n v="1972.95"/>
        <n v="21232.182260000001"/>
        <n v="8627.5411000000004"/>
        <n v="4433.3877000000002"/>
        <n v="4438.2633999999998"/>
        <n v="24915.220850000002"/>
        <n v="23241.47453"/>
        <n v="9957.7216000000008"/>
        <n v="8269.0439999999999"/>
        <n v="18767.737700000001"/>
        <n v="36580.282160000002"/>
        <n v="8765.2489999999998"/>
        <n v="5383.5360000000001"/>
        <n v="12124.992399999999"/>
        <n v="2709.24395"/>
        <n v="3987.9259999999999"/>
        <n v="12495.290849999999"/>
        <n v="26018.950519999999"/>
        <n v="8798.5930000000008"/>
        <n v="35595.589800000002"/>
        <n v="42211.138200000001"/>
        <n v="1711.0268000000001"/>
        <n v="8569.8618000000006"/>
        <n v="2020.1769999999999"/>
        <n v="16450.894700000001"/>
        <n v="21595.382290000001"/>
        <n v="9850.4320000000007"/>
        <n v="6877.9800999999998"/>
        <n v="21677.283449999999"/>
        <n v="44423.803"/>
        <n v="4137.5227000000004"/>
        <n v="13747.87235"/>
        <n v="12950.0712"/>
        <n v="12094.477999999999"/>
        <n v="37484.4493"/>
        <n v="39725.518049999999"/>
        <n v="2250.8352"/>
        <n v="22493.659640000002"/>
        <n v="20234.854749999999"/>
        <n v="1704.7001499999999"/>
        <n v="33475.817150000003"/>
        <n v="3161.4540000000002"/>
        <n v="11394.065549999999"/>
        <n v="21880.82"/>
        <n v="7325.0482000000002"/>
        <n v="44501.398200000003"/>
        <n v="3594.17085"/>
        <n v="39727.614000000001"/>
        <n v="8023.1354499999998"/>
        <n v="14394.5579"/>
        <n v="9288.0267000000003"/>
        <n v="25309.489000000001"/>
        <n v="3353.4703"/>
        <n v="10594.501550000001"/>
        <n v="8277.5229999999992"/>
        <n v="17929.303370000001"/>
        <n v="2480.9791"/>
        <n v="4462.7218000000003"/>
        <n v="1981.5818999999999"/>
        <n v="11554.223599999999"/>
        <n v="48970.247600000002"/>
        <n v="6548.1950500000003"/>
        <n v="5708.8670000000002"/>
        <n v="7045.4989999999998"/>
        <n v="8978.1851000000006"/>
        <n v="5757.41345"/>
        <n v="14349.8544"/>
        <n v="10928.849"/>
        <n v="39871.704299999998"/>
        <n v="13974.455550000001"/>
        <n v="1909.52745"/>
        <n v="12096.6512"/>
        <n v="13204.28565"/>
        <n v="4562.8420999999998"/>
        <n v="8551.3469999999998"/>
        <n v="2102.2647000000002"/>
        <n v="34672.147199999999"/>
        <n v="15161.5344"/>
        <n v="11884.048580000001"/>
        <n v="4454.40265"/>
        <n v="5855.9025000000001"/>
        <n v="4076.4969999999998"/>
        <n v="15019.760050000001"/>
        <n v="19023.259999999998"/>
        <n v="10796.35025"/>
        <n v="11353.2276"/>
        <n v="9748.9105999999992"/>
        <n v="10577.087"/>
        <n v="41676.081100000003"/>
        <n v="11286.538699999999"/>
        <n v="3591.48"/>
        <n v="33907.548000000003"/>
        <n v="11299.343000000001"/>
        <n v="4561.1885000000002"/>
        <n v="44641.197399999997"/>
        <n v="1674.6323"/>
        <n v="23045.566159999998"/>
        <n v="3227.1210999999998"/>
        <n v="16776.304049999999"/>
        <n v="11253.421"/>
        <n v="3471.4096"/>
        <n v="11363.2832"/>
        <n v="20420.604650000001"/>
        <n v="10338.9316"/>
        <n v="8988.1587500000005"/>
        <n v="10493.9458"/>
        <n v="2904.0880000000002"/>
        <n v="8605.3615000000009"/>
        <n v="11512.405000000001"/>
        <n v="41949.244100000004"/>
        <n v="24180.933499999999"/>
        <n v="5312.1698500000002"/>
        <n v="2396.0958999999998"/>
        <n v="10807.4863"/>
        <n v="9222.4025999999994"/>
        <n v="36124.573700000001"/>
        <n v="38282.749499999998"/>
        <n v="5693.4305000000004"/>
        <n v="34166.273000000001"/>
        <n v="8347.1643000000004"/>
        <n v="46661.4424"/>
        <n v="18903.491409999999"/>
        <n v="40904.199500000002"/>
        <n v="14254.608200000001"/>
        <n v="10214.636"/>
        <n v="5836.5204000000003"/>
        <n v="14358.364369999999"/>
        <n v="1728.8969999999999"/>
        <n v="8582.3022999999994"/>
        <n v="3693.4279999999999"/>
        <n v="20709.020339999999"/>
        <n v="9991.0376500000002"/>
        <n v="19673.335729999999"/>
        <n v="11085.586799999999"/>
        <n v="7623.518"/>
        <n v="3176.2876999999999"/>
        <n v="3704.3544999999999"/>
        <n v="36898.733079999998"/>
        <n v="9048.0272999999997"/>
        <n v="7954.5169999999998"/>
        <n v="27117.993780000001"/>
        <n v="6338.0756000000001"/>
        <n v="9630.3970000000008"/>
        <n v="11289.10925"/>
        <n v="52590.829389999999"/>
        <n v="2261.5688"/>
        <n v="10791.96"/>
        <n v="5979.7309999999998"/>
        <n v="2203.7359499999998"/>
        <n v="12235.8392"/>
        <n v="40941.285400000001"/>
        <n v="5630.4578499999998"/>
        <n v="11015.1747"/>
        <n v="7228.2156500000001"/>
        <n v="39722.746200000001"/>
        <n v="14426.073850000001"/>
        <n v="2459.7201"/>
        <n v="3989.8409999999999"/>
        <n v="7727.2532000000001"/>
        <n v="5124.1886999999997"/>
        <n v="18963.171920000001"/>
        <n v="2200.8308499999998"/>
        <n v="7153.5538999999999"/>
        <n v="5227.9887500000004"/>
        <n v="10982.5013"/>
        <n v="4529.4769999999999"/>
        <n v="4670.6400000000003"/>
        <n v="6112.3529500000004"/>
        <n v="17178.682400000002"/>
        <n v="22478.6"/>
        <n v="11093.6229"/>
        <n v="6457.8433999999997"/>
        <n v="4433.9159"/>
        <n v="2154.3609999999999"/>
        <n v="23887.662700000001"/>
        <n v="6496.8860000000004"/>
        <n v="2899.4893499999998"/>
        <n v="19350.368900000001"/>
        <n v="7650.7737500000003"/>
        <n v="2850.6837500000001"/>
        <n v="2632.9920000000002"/>
        <n v="9447.3824000000004"/>
        <n v="18328.238099999999"/>
        <n v="8603.8233999999993"/>
        <n v="37465.34375"/>
        <n v="13844.797200000001"/>
        <n v="21771.3423"/>
        <n v="13126.677449999999"/>
        <n v="5327.4002499999997"/>
        <n v="13725.47184"/>
        <n v="13019.161050000001"/>
        <n v="8671.1912499999999"/>
        <n v="4134.0824499999999"/>
        <n v="18838.703659999999"/>
        <n v="33307.550799999997"/>
        <n v="5699.8374999999996"/>
        <n v="6393.6034499999996"/>
        <n v="4934.7049999999999"/>
        <n v="6198.7518"/>
        <n v="8733.2292500000003"/>
        <n v="2055.3249000000001"/>
        <n v="9964.06"/>
        <n v="18223.4512"/>
        <n v="5116.5003999999999"/>
        <n v="36910.608030000003"/>
        <n v="38415.474000000002"/>
        <n v="20296.863450000001"/>
        <n v="12347.172"/>
        <n v="5373.3642499999996"/>
        <n v="23563.016179999999"/>
        <n v="1702.4553000000001"/>
        <n v="10806.839"/>
        <n v="3956.0714499999999"/>
        <n v="12890.057650000001"/>
        <n v="5415.6611999999996"/>
        <n v="4058.1161000000002"/>
        <n v="41661.601999999999"/>
        <n v="7537.1638999999996"/>
        <n v="4718.2035500000002"/>
        <n v="6593.5083000000004"/>
        <n v="8442.6669999999995"/>
        <n v="26125.674770000001"/>
        <n v="6858.4795999999997"/>
        <n v="4795.6567999999997"/>
        <n v="6640.5448500000002"/>
        <n v="7162.0122000000001"/>
        <n v="10594.225700000001"/>
        <n v="11938.255950000001"/>
        <n v="60021.398970000002"/>
        <n v="20167.336029999999"/>
        <n v="12479.70895"/>
        <n v="11345.519"/>
        <n v="8515.7587000000003"/>
        <n v="2699.56835"/>
        <n v="14449.8544"/>
        <n v="12224.350850000001"/>
        <n v="6985.50695"/>
        <n v="3238.4357"/>
        <n v="47269.853999999999"/>
        <n v="49577.662400000001"/>
        <n v="4296.2712000000001"/>
        <n v="3171.6149"/>
        <n v="1135.9407000000001"/>
        <n v="5615.3689999999997"/>
        <n v="9101.7980000000007"/>
        <n v="6059.1729999999998"/>
        <n v="1633.9618"/>
        <n v="37607.527699999999"/>
        <n v="18648.421699999999"/>
        <n v="1241.5650000000001"/>
        <n v="16232.847"/>
        <n v="15828.82173"/>
        <n v="4415.1588000000002"/>
        <n v="6474.0129999999999"/>
        <n v="11436.738149999999"/>
        <n v="11305.93455"/>
        <n v="30063.580549999999"/>
        <n v="10197.772199999999"/>
        <n v="4544.2348000000002"/>
        <n v="3277.1610000000001"/>
        <n v="6770.1925000000001"/>
        <n v="7337.7479999999996"/>
        <n v="10370.912549999999"/>
        <n v="26926.5144"/>
        <n v="10704.47"/>
        <n v="34254.053350000002"/>
        <n v="1880.4870000000001"/>
        <n v="8615.2999999999993"/>
        <n v="3292.5298499999999"/>
        <n v="3021.80915"/>
        <n v="14478.33015"/>
        <n v="4747.0528999999997"/>
        <n v="17043.341400000001"/>
        <n v="10959.33"/>
        <n v="2741.9479999999999"/>
        <n v="4357.0436499999996"/>
        <n v="22462.043750000001"/>
        <n v="4189.1130999999996"/>
        <n v="8283.6807000000008"/>
        <n v="24535.698550000001"/>
        <n v="14283.4594"/>
        <n v="1720.3536999999999"/>
        <n v="47403.88"/>
        <n v="8534.6718000000001"/>
        <n v="3732.6251000000002"/>
        <n v="5472.4489999999996"/>
        <n v="38344.565999999999"/>
        <n v="7147.4727999999996"/>
        <n v="7133.9025000000001"/>
        <n v="34828.654000000002"/>
        <n v="1515.3449000000001"/>
        <n v="9301.8935500000007"/>
        <n v="11931.125249999999"/>
        <n v="1964.78"/>
        <n v="1708.9257500000001"/>
        <n v="4340.4408999999996"/>
        <n v="5261.4694499999996"/>
        <n v="2710.8285500000002"/>
        <n v="62592.873090000001"/>
        <n v="46718.163249999998"/>
        <n v="3208.7869999999998"/>
        <n v="37829.724199999997"/>
        <n v="21259.377949999998"/>
        <n v="2464.6188000000002"/>
        <n v="16115.3045"/>
        <n v="21472.478800000001"/>
        <n v="33900.652999999998"/>
        <n v="6875.9610000000002"/>
        <n v="6940.90985"/>
        <n v="4571.4130500000001"/>
        <n v="4536.259"/>
        <n v="36397.576000000001"/>
        <n v="18765.87545"/>
        <n v="11272.331389999999"/>
        <n v="1731.6769999999999"/>
        <n v="1163.4627"/>
        <n v="19496.71917"/>
        <n v="7201.7008500000002"/>
        <n v="5425.0233500000004"/>
        <n v="28101.333050000001"/>
        <n v="12981.3457"/>
        <n v="43896.376300000004"/>
        <n v="4239.8926499999998"/>
        <n v="13143.336649999999"/>
        <n v="7050.0213000000003"/>
        <n v="9377.9046999999991"/>
        <n v="22395.74424"/>
        <n v="10325.206"/>
        <n v="12629.1656"/>
        <n v="10795.937330000001"/>
        <n v="11411.684999999999"/>
        <n v="10600.5483"/>
        <n v="2205.9807999999998"/>
        <n v="1629.8335"/>
        <n v="2007.9449999999999"/>
        <n v="29141.3603"/>
      </sharedItems>
    </cacheField>
    <cacheField name="Blood_pressure" numFmtId="0">
      <sharedItems containsSemiMixedTypes="0" containsString="0" containsNumber="1" minValue="110.1" maxValue="140"/>
    </cacheField>
    <cacheField name="Exercise_frequency" numFmtId="0">
      <sharedItems count="4">
        <s v="Never"/>
        <s v="Weekly"/>
        <s v="Rarely"/>
        <s v="Daily"/>
      </sharedItems>
    </cacheField>
    <cacheField name="Pre_existing_condition" numFmtId="0">
      <sharedItems/>
    </cacheField>
    <cacheField name="Occupation_risk" numFmtId="0">
      <sharedItems count="3">
        <s v="High"/>
        <s v="Moderate"/>
        <s v="Low"/>
      </sharedItems>
    </cacheField>
    <cacheField name="Annual_income" numFmtId="0">
      <sharedItems containsSemiMixedTypes="0" containsString="0" containsNumber="1" minValue="30109.23" maxValue="199966.14"/>
    </cacheField>
    <cacheField name="Age Category" numFmtId="0">
      <sharedItems count="3">
        <s v="Young"/>
        <s v="Adult"/>
        <s v="Senior"/>
      </sharedItems>
    </cacheField>
  </cacheFields>
  <extLst>
    <ext xmlns:x14="http://schemas.microsoft.com/office/spreadsheetml/2009/9/main" uri="{725AE2AE-9491-48be-B2B4-4EB974FC3084}">
      <x14:pivotCacheDefinition pivotCacheId="21245571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n v="27.9"/>
    <x v="0"/>
    <x v="0"/>
    <x v="0"/>
    <x v="0"/>
    <n v="139"/>
    <x v="0"/>
    <b v="1"/>
    <x v="0"/>
    <n v="104158.67"/>
    <x v="0"/>
  </r>
  <r>
    <x v="1"/>
    <x v="1"/>
    <n v="33.770000000000003"/>
    <x v="1"/>
    <x v="1"/>
    <x v="1"/>
    <x v="1"/>
    <n v="129.9"/>
    <x v="1"/>
    <b v="1"/>
    <x v="1"/>
    <n v="43530.879999999997"/>
    <x v="0"/>
  </r>
  <r>
    <x v="2"/>
    <x v="1"/>
    <n v="33"/>
    <x v="2"/>
    <x v="1"/>
    <x v="1"/>
    <x v="2"/>
    <n v="111.1"/>
    <x v="2"/>
    <b v="0"/>
    <x v="0"/>
    <n v="113004.75"/>
    <x v="0"/>
  </r>
  <r>
    <x v="3"/>
    <x v="1"/>
    <n v="22.704999999999998"/>
    <x v="0"/>
    <x v="1"/>
    <x v="2"/>
    <x v="3"/>
    <n v="126.9"/>
    <x v="2"/>
    <b v="0"/>
    <x v="0"/>
    <n v="185041.26"/>
    <x v="1"/>
  </r>
  <r>
    <x v="4"/>
    <x v="1"/>
    <n v="28.88"/>
    <x v="0"/>
    <x v="1"/>
    <x v="2"/>
    <x v="4"/>
    <n v="134.69999999999999"/>
    <x v="2"/>
    <b v="1"/>
    <x v="2"/>
    <n v="46747.97"/>
    <x v="1"/>
  </r>
  <r>
    <x v="5"/>
    <x v="0"/>
    <n v="25.74"/>
    <x v="0"/>
    <x v="1"/>
    <x v="1"/>
    <x v="5"/>
    <n v="139.19999999999999"/>
    <x v="1"/>
    <b v="1"/>
    <x v="0"/>
    <n v="122750.81"/>
    <x v="1"/>
  </r>
  <r>
    <x v="6"/>
    <x v="0"/>
    <n v="33.44"/>
    <x v="1"/>
    <x v="1"/>
    <x v="1"/>
    <x v="6"/>
    <n v="123.9"/>
    <x v="3"/>
    <b v="0"/>
    <x v="1"/>
    <n v="132332.12"/>
    <x v="1"/>
  </r>
  <r>
    <x v="7"/>
    <x v="0"/>
    <n v="27.74"/>
    <x v="2"/>
    <x v="1"/>
    <x v="2"/>
    <x v="7"/>
    <n v="133.9"/>
    <x v="1"/>
    <b v="1"/>
    <x v="1"/>
    <n v="94279.88"/>
    <x v="1"/>
  </r>
  <r>
    <x v="7"/>
    <x v="1"/>
    <n v="29.83"/>
    <x v="3"/>
    <x v="1"/>
    <x v="3"/>
    <x v="8"/>
    <n v="121.5"/>
    <x v="1"/>
    <b v="1"/>
    <x v="0"/>
    <n v="194834.23"/>
    <x v="1"/>
  </r>
  <r>
    <x v="8"/>
    <x v="0"/>
    <n v="25.84"/>
    <x v="1"/>
    <x v="1"/>
    <x v="2"/>
    <x v="9"/>
    <n v="123.1"/>
    <x v="0"/>
    <b v="1"/>
    <x v="1"/>
    <n v="99145.8"/>
    <x v="2"/>
  </r>
  <r>
    <x v="9"/>
    <x v="1"/>
    <n v="26.22"/>
    <x v="0"/>
    <x v="1"/>
    <x v="3"/>
    <x v="10"/>
    <n v="112.3"/>
    <x v="2"/>
    <b v="0"/>
    <x v="1"/>
    <n v="129340.92"/>
    <x v="0"/>
  </r>
  <r>
    <x v="10"/>
    <x v="0"/>
    <n v="26.29"/>
    <x v="0"/>
    <x v="0"/>
    <x v="1"/>
    <x v="11"/>
    <n v="124.6"/>
    <x v="3"/>
    <b v="0"/>
    <x v="2"/>
    <n v="118270.38"/>
    <x v="2"/>
  </r>
  <r>
    <x v="11"/>
    <x v="1"/>
    <n v="34.4"/>
    <x v="0"/>
    <x v="1"/>
    <x v="0"/>
    <x v="12"/>
    <n v="126.6"/>
    <x v="2"/>
    <b v="0"/>
    <x v="2"/>
    <n v="71968.66"/>
    <x v="1"/>
  </r>
  <r>
    <x v="12"/>
    <x v="0"/>
    <n v="39.82"/>
    <x v="0"/>
    <x v="1"/>
    <x v="1"/>
    <x v="13"/>
    <n v="138.30000000000001"/>
    <x v="0"/>
    <b v="0"/>
    <x v="0"/>
    <n v="185785.44"/>
    <x v="2"/>
  </r>
  <r>
    <x v="13"/>
    <x v="1"/>
    <n v="42.13"/>
    <x v="0"/>
    <x v="0"/>
    <x v="1"/>
    <x v="14"/>
    <n v="125.1"/>
    <x v="2"/>
    <b v="0"/>
    <x v="1"/>
    <n v="156942.09"/>
    <x v="0"/>
  </r>
  <r>
    <x v="0"/>
    <x v="1"/>
    <n v="24.6"/>
    <x v="1"/>
    <x v="1"/>
    <x v="0"/>
    <x v="15"/>
    <n v="125.7"/>
    <x v="1"/>
    <b v="1"/>
    <x v="1"/>
    <n v="196437.27"/>
    <x v="0"/>
  </r>
  <r>
    <x v="14"/>
    <x v="0"/>
    <n v="30.78"/>
    <x v="1"/>
    <x v="1"/>
    <x v="3"/>
    <x v="16"/>
    <n v="131.80000000000001"/>
    <x v="0"/>
    <b v="0"/>
    <x v="2"/>
    <n v="126342.85"/>
    <x v="2"/>
  </r>
  <r>
    <x v="15"/>
    <x v="1"/>
    <n v="23.844999999999999"/>
    <x v="0"/>
    <x v="1"/>
    <x v="3"/>
    <x v="17"/>
    <n v="120.9"/>
    <x v="3"/>
    <b v="0"/>
    <x v="0"/>
    <n v="96360.44"/>
    <x v="0"/>
  </r>
  <r>
    <x v="12"/>
    <x v="1"/>
    <n v="40.299999999999997"/>
    <x v="0"/>
    <x v="1"/>
    <x v="0"/>
    <x v="18"/>
    <n v="131.4"/>
    <x v="0"/>
    <b v="0"/>
    <x v="0"/>
    <n v="82859.960000000006"/>
    <x v="2"/>
  </r>
  <r>
    <x v="16"/>
    <x v="1"/>
    <n v="35.299999999999997"/>
    <x v="0"/>
    <x v="0"/>
    <x v="0"/>
    <x v="19"/>
    <n v="132.19999999999999"/>
    <x v="1"/>
    <b v="0"/>
    <x v="2"/>
    <n v="144410.48000000001"/>
    <x v="1"/>
  </r>
  <r>
    <x v="8"/>
    <x v="0"/>
    <n v="36.005000000000003"/>
    <x v="0"/>
    <x v="1"/>
    <x v="3"/>
    <x v="20"/>
    <n v="126"/>
    <x v="3"/>
    <b v="1"/>
    <x v="2"/>
    <n v="168116.14"/>
    <x v="2"/>
  </r>
  <r>
    <x v="16"/>
    <x v="0"/>
    <n v="32.4"/>
    <x v="1"/>
    <x v="1"/>
    <x v="0"/>
    <x v="21"/>
    <n v="111.9"/>
    <x v="3"/>
    <b v="0"/>
    <x v="2"/>
    <n v="160453.76000000001"/>
    <x v="1"/>
  </r>
  <r>
    <x v="1"/>
    <x v="1"/>
    <n v="34.1"/>
    <x v="0"/>
    <x v="1"/>
    <x v="1"/>
    <x v="22"/>
    <n v="117.6"/>
    <x v="0"/>
    <b v="1"/>
    <x v="1"/>
    <n v="155712.9"/>
    <x v="0"/>
  </r>
  <r>
    <x v="17"/>
    <x v="0"/>
    <n v="31.92"/>
    <x v="1"/>
    <x v="0"/>
    <x v="3"/>
    <x v="23"/>
    <n v="110.1"/>
    <x v="2"/>
    <b v="0"/>
    <x v="0"/>
    <n v="188604.28"/>
    <x v="1"/>
  </r>
  <r>
    <x v="7"/>
    <x v="1"/>
    <n v="28.024999999999999"/>
    <x v="3"/>
    <x v="1"/>
    <x v="2"/>
    <x v="24"/>
    <n v="111.3"/>
    <x v="1"/>
    <b v="0"/>
    <x v="2"/>
    <n v="179194.64"/>
    <x v="1"/>
  </r>
  <r>
    <x v="18"/>
    <x v="0"/>
    <n v="27.72"/>
    <x v="2"/>
    <x v="1"/>
    <x v="1"/>
    <x v="25"/>
    <n v="116.4"/>
    <x v="3"/>
    <b v="0"/>
    <x v="0"/>
    <n v="73018.960000000006"/>
    <x v="2"/>
  </r>
  <r>
    <x v="19"/>
    <x v="0"/>
    <n v="23.085000000000001"/>
    <x v="0"/>
    <x v="1"/>
    <x v="3"/>
    <x v="26"/>
    <n v="130.9"/>
    <x v="2"/>
    <b v="1"/>
    <x v="1"/>
    <n v="53450.87"/>
    <x v="2"/>
  </r>
  <r>
    <x v="20"/>
    <x v="0"/>
    <n v="32.774999999999999"/>
    <x v="3"/>
    <x v="1"/>
    <x v="2"/>
    <x v="27"/>
    <n v="129.1"/>
    <x v="2"/>
    <b v="0"/>
    <x v="1"/>
    <n v="57405.68"/>
    <x v="2"/>
  </r>
  <r>
    <x v="15"/>
    <x v="1"/>
    <n v="17.385000000000002"/>
    <x v="1"/>
    <x v="1"/>
    <x v="2"/>
    <x v="28"/>
    <n v="131.69999999999999"/>
    <x v="2"/>
    <b v="1"/>
    <x v="1"/>
    <n v="107792.94"/>
    <x v="0"/>
  </r>
  <r>
    <x v="5"/>
    <x v="1"/>
    <n v="36.299999999999997"/>
    <x v="3"/>
    <x v="0"/>
    <x v="0"/>
    <x v="29"/>
    <n v="135.9"/>
    <x v="1"/>
    <b v="1"/>
    <x v="0"/>
    <n v="132114.72"/>
    <x v="1"/>
  </r>
  <r>
    <x v="21"/>
    <x v="1"/>
    <n v="35.6"/>
    <x v="0"/>
    <x v="0"/>
    <x v="0"/>
    <x v="30"/>
    <n v="126"/>
    <x v="3"/>
    <b v="1"/>
    <x v="2"/>
    <n v="120987.25"/>
    <x v="0"/>
  </r>
  <r>
    <x v="1"/>
    <x v="0"/>
    <n v="26.315000000000001"/>
    <x v="0"/>
    <x v="1"/>
    <x v="3"/>
    <x v="31"/>
    <n v="121.5"/>
    <x v="3"/>
    <b v="1"/>
    <x v="2"/>
    <n v="88178.84"/>
    <x v="0"/>
  </r>
  <r>
    <x v="0"/>
    <x v="0"/>
    <n v="28.6"/>
    <x v="4"/>
    <x v="1"/>
    <x v="0"/>
    <x v="32"/>
    <n v="122.4"/>
    <x v="1"/>
    <b v="0"/>
    <x v="1"/>
    <n v="161477.62"/>
    <x v="0"/>
  </r>
  <r>
    <x v="19"/>
    <x v="1"/>
    <n v="28.31"/>
    <x v="0"/>
    <x v="1"/>
    <x v="2"/>
    <x v="33"/>
    <n v="131.4"/>
    <x v="1"/>
    <b v="1"/>
    <x v="1"/>
    <n v="159908.24"/>
    <x v="2"/>
  </r>
  <r>
    <x v="2"/>
    <x v="1"/>
    <n v="36.4"/>
    <x v="1"/>
    <x v="0"/>
    <x v="0"/>
    <x v="34"/>
    <n v="133.4"/>
    <x v="2"/>
    <b v="1"/>
    <x v="2"/>
    <n v="73808.92"/>
    <x v="0"/>
  </r>
  <r>
    <x v="0"/>
    <x v="1"/>
    <n v="20.425000000000001"/>
    <x v="0"/>
    <x v="1"/>
    <x v="2"/>
    <x v="35"/>
    <n v="121.7"/>
    <x v="0"/>
    <b v="1"/>
    <x v="1"/>
    <n v="188822.17"/>
    <x v="0"/>
  </r>
  <r>
    <x v="10"/>
    <x v="0"/>
    <n v="32.965000000000003"/>
    <x v="2"/>
    <x v="1"/>
    <x v="2"/>
    <x v="36"/>
    <n v="111.3"/>
    <x v="1"/>
    <b v="0"/>
    <x v="2"/>
    <n v="39975.71"/>
    <x v="2"/>
  </r>
  <r>
    <x v="22"/>
    <x v="1"/>
    <n v="20.8"/>
    <x v="0"/>
    <x v="1"/>
    <x v="0"/>
    <x v="37"/>
    <n v="124.5"/>
    <x v="0"/>
    <b v="0"/>
    <x v="0"/>
    <n v="97279.03"/>
    <x v="0"/>
  </r>
  <r>
    <x v="23"/>
    <x v="1"/>
    <n v="36.67"/>
    <x v="1"/>
    <x v="0"/>
    <x v="3"/>
    <x v="38"/>
    <n v="116.1"/>
    <x v="0"/>
    <b v="1"/>
    <x v="1"/>
    <n v="176382.51"/>
    <x v="1"/>
  </r>
  <r>
    <x v="8"/>
    <x v="1"/>
    <n v="39.9"/>
    <x v="0"/>
    <x v="0"/>
    <x v="0"/>
    <x v="39"/>
    <n v="137.9"/>
    <x v="1"/>
    <b v="1"/>
    <x v="2"/>
    <n v="142445.84"/>
    <x v="2"/>
  </r>
  <r>
    <x v="24"/>
    <x v="0"/>
    <n v="26.6"/>
    <x v="0"/>
    <x v="1"/>
    <x v="3"/>
    <x v="40"/>
    <n v="137.5"/>
    <x v="1"/>
    <b v="0"/>
    <x v="0"/>
    <n v="154983.70000000001"/>
    <x v="0"/>
  </r>
  <r>
    <x v="5"/>
    <x v="0"/>
    <n v="36.630000000000003"/>
    <x v="3"/>
    <x v="1"/>
    <x v="1"/>
    <x v="41"/>
    <n v="137"/>
    <x v="3"/>
    <b v="0"/>
    <x v="1"/>
    <n v="46716.72"/>
    <x v="1"/>
  </r>
  <r>
    <x v="25"/>
    <x v="1"/>
    <n v="21.78"/>
    <x v="1"/>
    <x v="1"/>
    <x v="1"/>
    <x v="42"/>
    <n v="137"/>
    <x v="3"/>
    <b v="0"/>
    <x v="1"/>
    <n v="90932.17"/>
    <x v="1"/>
  </r>
  <r>
    <x v="7"/>
    <x v="0"/>
    <n v="30.8"/>
    <x v="3"/>
    <x v="1"/>
    <x v="1"/>
    <x v="43"/>
    <n v="133.5"/>
    <x v="0"/>
    <b v="1"/>
    <x v="2"/>
    <n v="33315.61"/>
    <x v="1"/>
  </r>
  <r>
    <x v="26"/>
    <x v="1"/>
    <n v="37.049999999999997"/>
    <x v="1"/>
    <x v="1"/>
    <x v="3"/>
    <x v="44"/>
    <n v="122.1"/>
    <x v="2"/>
    <b v="0"/>
    <x v="1"/>
    <n v="179031.2"/>
    <x v="1"/>
  </r>
  <r>
    <x v="20"/>
    <x v="1"/>
    <n v="37.299999999999997"/>
    <x v="0"/>
    <x v="1"/>
    <x v="0"/>
    <x v="45"/>
    <n v="124.8"/>
    <x v="2"/>
    <b v="1"/>
    <x v="2"/>
    <n v="103115.43"/>
    <x v="2"/>
  </r>
  <r>
    <x v="1"/>
    <x v="0"/>
    <n v="38.664999999999999"/>
    <x v="3"/>
    <x v="1"/>
    <x v="3"/>
    <x v="46"/>
    <n v="122.9"/>
    <x v="3"/>
    <b v="0"/>
    <x v="0"/>
    <n v="57520.23"/>
    <x v="0"/>
  </r>
  <r>
    <x v="2"/>
    <x v="0"/>
    <n v="34.770000000000003"/>
    <x v="0"/>
    <x v="1"/>
    <x v="2"/>
    <x v="47"/>
    <n v="112.1"/>
    <x v="3"/>
    <b v="1"/>
    <x v="0"/>
    <n v="45767.22"/>
    <x v="0"/>
  </r>
  <r>
    <x v="8"/>
    <x v="0"/>
    <n v="24.53"/>
    <x v="0"/>
    <x v="1"/>
    <x v="1"/>
    <x v="48"/>
    <n v="120.5"/>
    <x v="2"/>
    <b v="1"/>
    <x v="1"/>
    <n v="108077.82"/>
    <x v="2"/>
  </r>
  <r>
    <x v="27"/>
    <x v="1"/>
    <n v="35.200000000000003"/>
    <x v="1"/>
    <x v="0"/>
    <x v="1"/>
    <x v="49"/>
    <n v="120.3"/>
    <x v="1"/>
    <b v="0"/>
    <x v="1"/>
    <n v="184073.88"/>
    <x v="1"/>
  </r>
  <r>
    <x v="1"/>
    <x v="0"/>
    <n v="35.625"/>
    <x v="0"/>
    <x v="1"/>
    <x v="3"/>
    <x v="50"/>
    <n v="131.1"/>
    <x v="2"/>
    <b v="1"/>
    <x v="1"/>
    <n v="34798.870000000003"/>
    <x v="0"/>
  </r>
  <r>
    <x v="28"/>
    <x v="0"/>
    <n v="33.630000000000003"/>
    <x v="3"/>
    <x v="1"/>
    <x v="2"/>
    <x v="51"/>
    <n v="110.5"/>
    <x v="1"/>
    <b v="0"/>
    <x v="2"/>
    <n v="135157.21"/>
    <x v="0"/>
  </r>
  <r>
    <x v="29"/>
    <x v="1"/>
    <n v="28"/>
    <x v="1"/>
    <x v="0"/>
    <x v="0"/>
    <x v="52"/>
    <n v="114.7"/>
    <x v="1"/>
    <b v="1"/>
    <x v="0"/>
    <n v="104642.65"/>
    <x v="1"/>
  </r>
  <r>
    <x v="27"/>
    <x v="1"/>
    <n v="34.43"/>
    <x v="0"/>
    <x v="0"/>
    <x v="1"/>
    <x v="53"/>
    <n v="116.6"/>
    <x v="3"/>
    <b v="0"/>
    <x v="0"/>
    <n v="64295.24"/>
    <x v="1"/>
  </r>
  <r>
    <x v="30"/>
    <x v="0"/>
    <n v="28.69"/>
    <x v="2"/>
    <x v="1"/>
    <x v="2"/>
    <x v="54"/>
    <n v="115.9"/>
    <x v="1"/>
    <b v="0"/>
    <x v="2"/>
    <n v="118186.66"/>
    <x v="1"/>
  </r>
  <r>
    <x v="31"/>
    <x v="1"/>
    <n v="36.954999999999998"/>
    <x v="3"/>
    <x v="0"/>
    <x v="2"/>
    <x v="55"/>
    <n v="119.4"/>
    <x v="1"/>
    <b v="0"/>
    <x v="0"/>
    <n v="59127.96"/>
    <x v="2"/>
  </r>
  <r>
    <x v="31"/>
    <x v="0"/>
    <n v="31.824999999999999"/>
    <x v="3"/>
    <x v="1"/>
    <x v="3"/>
    <x v="56"/>
    <n v="110.7"/>
    <x v="1"/>
    <b v="1"/>
    <x v="0"/>
    <n v="174647.91"/>
    <x v="2"/>
  </r>
  <r>
    <x v="1"/>
    <x v="1"/>
    <n v="31.68"/>
    <x v="3"/>
    <x v="0"/>
    <x v="1"/>
    <x v="57"/>
    <n v="125"/>
    <x v="2"/>
    <b v="1"/>
    <x v="2"/>
    <n v="127659.74"/>
    <x v="0"/>
  </r>
  <r>
    <x v="32"/>
    <x v="0"/>
    <n v="22.88"/>
    <x v="1"/>
    <x v="0"/>
    <x v="1"/>
    <x v="58"/>
    <n v="111.3"/>
    <x v="0"/>
    <b v="0"/>
    <x v="2"/>
    <n v="93027.53"/>
    <x v="2"/>
  </r>
  <r>
    <x v="17"/>
    <x v="0"/>
    <n v="37.335000000000001"/>
    <x v="3"/>
    <x v="1"/>
    <x v="2"/>
    <x v="59"/>
    <n v="137.80000000000001"/>
    <x v="1"/>
    <b v="0"/>
    <x v="0"/>
    <n v="156158.20000000001"/>
    <x v="1"/>
  </r>
  <r>
    <x v="33"/>
    <x v="1"/>
    <n v="27.36"/>
    <x v="2"/>
    <x v="1"/>
    <x v="3"/>
    <x v="60"/>
    <n v="110.6"/>
    <x v="0"/>
    <b v="0"/>
    <x v="1"/>
    <n v="163840.88"/>
    <x v="1"/>
  </r>
  <r>
    <x v="9"/>
    <x v="1"/>
    <n v="33.659999999999997"/>
    <x v="5"/>
    <x v="1"/>
    <x v="1"/>
    <x v="61"/>
    <n v="135.9"/>
    <x v="0"/>
    <b v="1"/>
    <x v="2"/>
    <n v="166858.66"/>
    <x v="0"/>
  </r>
  <r>
    <x v="34"/>
    <x v="1"/>
    <n v="24.7"/>
    <x v="1"/>
    <x v="1"/>
    <x v="2"/>
    <x v="62"/>
    <n v="112.5"/>
    <x v="3"/>
    <b v="0"/>
    <x v="1"/>
    <n v="188326.35"/>
    <x v="2"/>
  </r>
  <r>
    <x v="2"/>
    <x v="0"/>
    <n v="25.934999999999999"/>
    <x v="1"/>
    <x v="1"/>
    <x v="2"/>
    <x v="63"/>
    <n v="139.69999999999999"/>
    <x v="0"/>
    <b v="0"/>
    <x v="0"/>
    <n v="176361.32"/>
    <x v="0"/>
  </r>
  <r>
    <x v="35"/>
    <x v="0"/>
    <n v="22.42"/>
    <x v="0"/>
    <x v="0"/>
    <x v="2"/>
    <x v="64"/>
    <n v="138.80000000000001"/>
    <x v="2"/>
    <b v="1"/>
    <x v="0"/>
    <n v="143460.95000000001"/>
    <x v="0"/>
  </r>
  <r>
    <x v="0"/>
    <x v="0"/>
    <n v="28.9"/>
    <x v="0"/>
    <x v="1"/>
    <x v="0"/>
    <x v="65"/>
    <n v="117.3"/>
    <x v="2"/>
    <b v="1"/>
    <x v="1"/>
    <n v="144967.79999999999"/>
    <x v="0"/>
  </r>
  <r>
    <x v="36"/>
    <x v="0"/>
    <n v="39.1"/>
    <x v="3"/>
    <x v="1"/>
    <x v="0"/>
    <x v="66"/>
    <n v="114.8"/>
    <x v="2"/>
    <b v="0"/>
    <x v="0"/>
    <n v="106284.47"/>
    <x v="2"/>
  </r>
  <r>
    <x v="30"/>
    <x v="1"/>
    <n v="26.315000000000001"/>
    <x v="1"/>
    <x v="1"/>
    <x v="2"/>
    <x v="67"/>
    <n v="130.5"/>
    <x v="1"/>
    <b v="1"/>
    <x v="1"/>
    <n v="57525.42"/>
    <x v="1"/>
  </r>
  <r>
    <x v="30"/>
    <x v="0"/>
    <n v="36.19"/>
    <x v="0"/>
    <x v="1"/>
    <x v="1"/>
    <x v="68"/>
    <n v="111.8"/>
    <x v="2"/>
    <b v="0"/>
    <x v="0"/>
    <n v="120994.34"/>
    <x v="1"/>
  </r>
  <r>
    <x v="2"/>
    <x v="1"/>
    <n v="23.98"/>
    <x v="2"/>
    <x v="0"/>
    <x v="1"/>
    <x v="69"/>
    <n v="138.9"/>
    <x v="0"/>
    <b v="1"/>
    <x v="0"/>
    <n v="94285.79"/>
    <x v="0"/>
  </r>
  <r>
    <x v="13"/>
    <x v="0"/>
    <n v="24.75"/>
    <x v="0"/>
    <x v="0"/>
    <x v="1"/>
    <x v="70"/>
    <n v="118.1"/>
    <x v="2"/>
    <b v="1"/>
    <x v="0"/>
    <n v="88505.5"/>
    <x v="0"/>
  </r>
  <r>
    <x v="5"/>
    <x v="1"/>
    <n v="28.5"/>
    <x v="4"/>
    <x v="1"/>
    <x v="3"/>
    <x v="71"/>
    <n v="116"/>
    <x v="0"/>
    <b v="1"/>
    <x v="2"/>
    <n v="55233.62"/>
    <x v="1"/>
  </r>
  <r>
    <x v="32"/>
    <x v="0"/>
    <n v="28.1"/>
    <x v="2"/>
    <x v="1"/>
    <x v="0"/>
    <x v="72"/>
    <n v="136.69999999999999"/>
    <x v="2"/>
    <b v="1"/>
    <x v="2"/>
    <n v="87042.28"/>
    <x v="2"/>
  </r>
  <r>
    <x v="31"/>
    <x v="1"/>
    <n v="32.01"/>
    <x v="1"/>
    <x v="1"/>
    <x v="1"/>
    <x v="73"/>
    <n v="122.3"/>
    <x v="1"/>
    <b v="1"/>
    <x v="0"/>
    <n v="52424.14"/>
    <x v="2"/>
  </r>
  <r>
    <x v="37"/>
    <x v="1"/>
    <n v="27.4"/>
    <x v="3"/>
    <x v="1"/>
    <x v="0"/>
    <x v="74"/>
    <n v="130.9"/>
    <x v="0"/>
    <b v="0"/>
    <x v="0"/>
    <n v="188252.37"/>
    <x v="1"/>
  </r>
  <r>
    <x v="38"/>
    <x v="1"/>
    <n v="34.01"/>
    <x v="0"/>
    <x v="1"/>
    <x v="2"/>
    <x v="75"/>
    <n v="136.69999999999999"/>
    <x v="1"/>
    <b v="1"/>
    <x v="2"/>
    <n v="50665.94"/>
    <x v="2"/>
  </r>
  <r>
    <x v="39"/>
    <x v="0"/>
    <n v="29.59"/>
    <x v="1"/>
    <x v="1"/>
    <x v="1"/>
    <x v="76"/>
    <n v="134.1"/>
    <x v="2"/>
    <b v="0"/>
    <x v="0"/>
    <n v="33745"/>
    <x v="0"/>
  </r>
  <r>
    <x v="28"/>
    <x v="1"/>
    <n v="35.53"/>
    <x v="0"/>
    <x v="1"/>
    <x v="1"/>
    <x v="77"/>
    <n v="124"/>
    <x v="2"/>
    <b v="1"/>
    <x v="2"/>
    <n v="116342.54"/>
    <x v="0"/>
  </r>
  <r>
    <x v="21"/>
    <x v="0"/>
    <n v="39.805"/>
    <x v="0"/>
    <x v="1"/>
    <x v="3"/>
    <x v="78"/>
    <n v="128.69999999999999"/>
    <x v="2"/>
    <b v="0"/>
    <x v="2"/>
    <n v="137771.10999999999"/>
    <x v="0"/>
  </r>
  <r>
    <x v="25"/>
    <x v="0"/>
    <n v="32.965000000000003"/>
    <x v="0"/>
    <x v="1"/>
    <x v="2"/>
    <x v="79"/>
    <n v="113.7"/>
    <x v="3"/>
    <b v="1"/>
    <x v="1"/>
    <n v="97598.23"/>
    <x v="1"/>
  </r>
  <r>
    <x v="5"/>
    <x v="1"/>
    <n v="26.885000000000002"/>
    <x v="1"/>
    <x v="1"/>
    <x v="3"/>
    <x v="80"/>
    <n v="128.4"/>
    <x v="0"/>
    <b v="1"/>
    <x v="0"/>
    <n v="54828.78"/>
    <x v="1"/>
  </r>
  <r>
    <x v="40"/>
    <x v="0"/>
    <n v="38.284999999999997"/>
    <x v="0"/>
    <x v="1"/>
    <x v="3"/>
    <x v="81"/>
    <n v="121.4"/>
    <x v="0"/>
    <b v="0"/>
    <x v="1"/>
    <n v="86206.67"/>
    <x v="1"/>
  </r>
  <r>
    <x v="21"/>
    <x v="1"/>
    <n v="37.619999999999997"/>
    <x v="1"/>
    <x v="0"/>
    <x v="1"/>
    <x v="82"/>
    <n v="139.6"/>
    <x v="2"/>
    <b v="0"/>
    <x v="0"/>
    <n v="41704.44"/>
    <x v="0"/>
  </r>
  <r>
    <x v="29"/>
    <x v="0"/>
    <n v="41.23"/>
    <x v="5"/>
    <x v="1"/>
    <x v="2"/>
    <x v="83"/>
    <n v="137.80000000000001"/>
    <x v="2"/>
    <b v="1"/>
    <x v="1"/>
    <n v="83077.56"/>
    <x v="1"/>
  </r>
  <r>
    <x v="7"/>
    <x v="0"/>
    <n v="34.799999999999997"/>
    <x v="3"/>
    <x v="0"/>
    <x v="0"/>
    <x v="84"/>
    <n v="123.7"/>
    <x v="2"/>
    <b v="0"/>
    <x v="1"/>
    <n v="129224.38"/>
    <x v="1"/>
  </r>
  <r>
    <x v="40"/>
    <x v="1"/>
    <n v="22.895"/>
    <x v="3"/>
    <x v="0"/>
    <x v="2"/>
    <x v="85"/>
    <n v="130.69999999999999"/>
    <x v="1"/>
    <b v="1"/>
    <x v="2"/>
    <n v="181157.69"/>
    <x v="1"/>
  </r>
  <r>
    <x v="38"/>
    <x v="0"/>
    <n v="31.16"/>
    <x v="0"/>
    <x v="0"/>
    <x v="2"/>
    <x v="86"/>
    <n v="125.3"/>
    <x v="1"/>
    <b v="1"/>
    <x v="1"/>
    <n v="33452.910000000003"/>
    <x v="2"/>
  </r>
  <r>
    <x v="12"/>
    <x v="0"/>
    <n v="27.2"/>
    <x v="0"/>
    <x v="1"/>
    <x v="0"/>
    <x v="87"/>
    <n v="131.30000000000001"/>
    <x v="1"/>
    <b v="0"/>
    <x v="0"/>
    <n v="154623.26999999999"/>
    <x v="2"/>
  </r>
  <r>
    <x v="6"/>
    <x v="0"/>
    <n v="27.74"/>
    <x v="0"/>
    <x v="1"/>
    <x v="2"/>
    <x v="88"/>
    <n v="125.1"/>
    <x v="3"/>
    <b v="1"/>
    <x v="1"/>
    <n v="46512.71"/>
    <x v="1"/>
  </r>
  <r>
    <x v="20"/>
    <x v="0"/>
    <n v="26.98"/>
    <x v="0"/>
    <x v="1"/>
    <x v="2"/>
    <x v="89"/>
    <n v="127.2"/>
    <x v="3"/>
    <b v="1"/>
    <x v="0"/>
    <n v="111682.19"/>
    <x v="2"/>
  </r>
  <r>
    <x v="28"/>
    <x v="0"/>
    <n v="39.49"/>
    <x v="0"/>
    <x v="1"/>
    <x v="1"/>
    <x v="90"/>
    <n v="125.3"/>
    <x v="1"/>
    <b v="1"/>
    <x v="2"/>
    <n v="149109.34"/>
    <x v="0"/>
  </r>
  <r>
    <x v="32"/>
    <x v="0"/>
    <n v="24.795000000000002"/>
    <x v="1"/>
    <x v="1"/>
    <x v="2"/>
    <x v="91"/>
    <n v="112.8"/>
    <x v="2"/>
    <b v="1"/>
    <x v="2"/>
    <n v="67314.960000000006"/>
    <x v="2"/>
  </r>
  <r>
    <x v="18"/>
    <x v="1"/>
    <n v="29.83"/>
    <x v="2"/>
    <x v="0"/>
    <x v="3"/>
    <x v="92"/>
    <n v="110.8"/>
    <x v="1"/>
    <b v="1"/>
    <x v="2"/>
    <n v="58809.24"/>
    <x v="2"/>
  </r>
  <r>
    <x v="23"/>
    <x v="1"/>
    <n v="34.770000000000003"/>
    <x v="3"/>
    <x v="1"/>
    <x v="2"/>
    <x v="93"/>
    <n v="133"/>
    <x v="0"/>
    <b v="1"/>
    <x v="2"/>
    <n v="128027.34"/>
    <x v="1"/>
  </r>
  <r>
    <x v="34"/>
    <x v="0"/>
    <n v="31.3"/>
    <x v="3"/>
    <x v="0"/>
    <x v="0"/>
    <x v="94"/>
    <n v="136.69999999999999"/>
    <x v="0"/>
    <b v="1"/>
    <x v="1"/>
    <n v="76557.34"/>
    <x v="2"/>
  </r>
  <r>
    <x v="2"/>
    <x v="0"/>
    <n v="37.619999999999997"/>
    <x v="1"/>
    <x v="1"/>
    <x v="1"/>
    <x v="95"/>
    <n v="120.7"/>
    <x v="3"/>
    <b v="1"/>
    <x v="2"/>
    <n v="190367.06"/>
    <x v="0"/>
  </r>
  <r>
    <x v="41"/>
    <x v="0"/>
    <n v="30.8"/>
    <x v="2"/>
    <x v="1"/>
    <x v="0"/>
    <x v="96"/>
    <n v="117.1"/>
    <x v="3"/>
    <b v="1"/>
    <x v="0"/>
    <n v="43109.73"/>
    <x v="2"/>
  </r>
  <r>
    <x v="20"/>
    <x v="1"/>
    <n v="38.28"/>
    <x v="0"/>
    <x v="1"/>
    <x v="1"/>
    <x v="97"/>
    <n v="115.2"/>
    <x v="3"/>
    <b v="0"/>
    <x v="2"/>
    <n v="104450.31"/>
    <x v="2"/>
  </r>
  <r>
    <x v="12"/>
    <x v="1"/>
    <n v="19.95"/>
    <x v="0"/>
    <x v="0"/>
    <x v="3"/>
    <x v="98"/>
    <n v="126.7"/>
    <x v="2"/>
    <b v="0"/>
    <x v="0"/>
    <n v="166117.31"/>
    <x v="2"/>
  </r>
  <r>
    <x v="26"/>
    <x v="1"/>
    <n v="19.3"/>
    <x v="0"/>
    <x v="0"/>
    <x v="0"/>
    <x v="99"/>
    <n v="135.80000000000001"/>
    <x v="1"/>
    <b v="1"/>
    <x v="0"/>
    <n v="43642.21"/>
    <x v="1"/>
  </r>
  <r>
    <x v="25"/>
    <x v="0"/>
    <n v="31.6"/>
    <x v="0"/>
    <x v="1"/>
    <x v="0"/>
    <x v="100"/>
    <n v="118.8"/>
    <x v="2"/>
    <b v="0"/>
    <x v="1"/>
    <n v="130241.21"/>
    <x v="1"/>
  </r>
  <r>
    <x v="16"/>
    <x v="1"/>
    <n v="25.46"/>
    <x v="0"/>
    <x v="1"/>
    <x v="3"/>
    <x v="101"/>
    <n v="131.6"/>
    <x v="3"/>
    <b v="0"/>
    <x v="2"/>
    <n v="108536.63"/>
    <x v="1"/>
  </r>
  <r>
    <x v="1"/>
    <x v="0"/>
    <n v="30.114999999999998"/>
    <x v="0"/>
    <x v="1"/>
    <x v="3"/>
    <x v="102"/>
    <n v="125.1"/>
    <x v="0"/>
    <b v="1"/>
    <x v="2"/>
    <n v="151356.98000000001"/>
    <x v="0"/>
  </r>
  <r>
    <x v="36"/>
    <x v="0"/>
    <n v="29.92"/>
    <x v="2"/>
    <x v="0"/>
    <x v="1"/>
    <x v="103"/>
    <n v="133.19999999999999"/>
    <x v="1"/>
    <b v="0"/>
    <x v="2"/>
    <n v="76679.66"/>
    <x v="2"/>
  </r>
  <r>
    <x v="17"/>
    <x v="0"/>
    <n v="27.5"/>
    <x v="1"/>
    <x v="1"/>
    <x v="0"/>
    <x v="104"/>
    <n v="125.2"/>
    <x v="1"/>
    <b v="1"/>
    <x v="2"/>
    <n v="71500.11"/>
    <x v="1"/>
  </r>
  <r>
    <x v="35"/>
    <x v="1"/>
    <n v="28.024999999999999"/>
    <x v="1"/>
    <x v="0"/>
    <x v="2"/>
    <x v="105"/>
    <n v="123.3"/>
    <x v="1"/>
    <b v="0"/>
    <x v="1"/>
    <n v="147738.66"/>
    <x v="0"/>
  </r>
  <r>
    <x v="0"/>
    <x v="0"/>
    <n v="28.4"/>
    <x v="1"/>
    <x v="1"/>
    <x v="0"/>
    <x v="106"/>
    <n v="111.2"/>
    <x v="0"/>
    <b v="1"/>
    <x v="0"/>
    <n v="177615.09"/>
    <x v="0"/>
  </r>
  <r>
    <x v="22"/>
    <x v="1"/>
    <n v="30.875"/>
    <x v="3"/>
    <x v="1"/>
    <x v="2"/>
    <x v="107"/>
    <n v="136.5"/>
    <x v="0"/>
    <b v="1"/>
    <x v="0"/>
    <n v="113999.73"/>
    <x v="0"/>
  </r>
  <r>
    <x v="39"/>
    <x v="1"/>
    <n v="27.94"/>
    <x v="0"/>
    <x v="1"/>
    <x v="1"/>
    <x v="108"/>
    <n v="129.69999999999999"/>
    <x v="2"/>
    <b v="1"/>
    <x v="2"/>
    <n v="177022.37"/>
    <x v="0"/>
  </r>
  <r>
    <x v="19"/>
    <x v="1"/>
    <n v="35.090000000000003"/>
    <x v="0"/>
    <x v="0"/>
    <x v="1"/>
    <x v="109"/>
    <n v="115.1"/>
    <x v="3"/>
    <b v="1"/>
    <x v="1"/>
    <n v="153766.62"/>
    <x v="2"/>
  </r>
  <r>
    <x v="41"/>
    <x v="1"/>
    <n v="33.630000000000003"/>
    <x v="1"/>
    <x v="1"/>
    <x v="2"/>
    <x v="110"/>
    <n v="116.9"/>
    <x v="0"/>
    <b v="1"/>
    <x v="0"/>
    <n v="153856.69"/>
    <x v="2"/>
  </r>
  <r>
    <x v="20"/>
    <x v="0"/>
    <n v="29.7"/>
    <x v="3"/>
    <x v="1"/>
    <x v="0"/>
    <x v="111"/>
    <n v="129.19999999999999"/>
    <x v="2"/>
    <b v="0"/>
    <x v="1"/>
    <n v="90017.54"/>
    <x v="2"/>
  </r>
  <r>
    <x v="7"/>
    <x v="1"/>
    <n v="30.8"/>
    <x v="0"/>
    <x v="1"/>
    <x v="0"/>
    <x v="112"/>
    <n v="117.8"/>
    <x v="3"/>
    <b v="0"/>
    <x v="2"/>
    <n v="94276.08"/>
    <x v="1"/>
  </r>
  <r>
    <x v="28"/>
    <x v="0"/>
    <n v="35.72"/>
    <x v="0"/>
    <x v="1"/>
    <x v="2"/>
    <x v="113"/>
    <n v="136"/>
    <x v="1"/>
    <b v="0"/>
    <x v="0"/>
    <n v="140434.41"/>
    <x v="0"/>
  </r>
  <r>
    <x v="14"/>
    <x v="1"/>
    <n v="32.204999999999998"/>
    <x v="2"/>
    <x v="1"/>
    <x v="3"/>
    <x v="114"/>
    <n v="134.80000000000001"/>
    <x v="1"/>
    <b v="0"/>
    <x v="1"/>
    <n v="112710.3"/>
    <x v="2"/>
  </r>
  <r>
    <x v="8"/>
    <x v="1"/>
    <n v="28.594999999999999"/>
    <x v="0"/>
    <x v="1"/>
    <x v="3"/>
    <x v="115"/>
    <n v="136.4"/>
    <x v="3"/>
    <b v="0"/>
    <x v="0"/>
    <n v="92961.8"/>
    <x v="2"/>
  </r>
  <r>
    <x v="31"/>
    <x v="1"/>
    <n v="49.06"/>
    <x v="0"/>
    <x v="1"/>
    <x v="1"/>
    <x v="116"/>
    <n v="115"/>
    <x v="0"/>
    <b v="1"/>
    <x v="2"/>
    <n v="45773.1"/>
    <x v="2"/>
  </r>
  <r>
    <x v="39"/>
    <x v="0"/>
    <n v="27.94"/>
    <x v="1"/>
    <x v="0"/>
    <x v="1"/>
    <x v="117"/>
    <n v="115.6"/>
    <x v="1"/>
    <b v="1"/>
    <x v="0"/>
    <n v="70285.38"/>
    <x v="0"/>
  </r>
  <r>
    <x v="42"/>
    <x v="0"/>
    <n v="27.17"/>
    <x v="0"/>
    <x v="1"/>
    <x v="1"/>
    <x v="118"/>
    <n v="132.5"/>
    <x v="0"/>
    <b v="0"/>
    <x v="2"/>
    <n v="179626.66"/>
    <x v="1"/>
  </r>
  <r>
    <x v="7"/>
    <x v="0"/>
    <n v="23.37"/>
    <x v="3"/>
    <x v="1"/>
    <x v="2"/>
    <x v="119"/>
    <n v="112.9"/>
    <x v="0"/>
    <b v="1"/>
    <x v="0"/>
    <n v="39010.79"/>
    <x v="1"/>
  </r>
  <r>
    <x v="37"/>
    <x v="1"/>
    <n v="37.1"/>
    <x v="3"/>
    <x v="1"/>
    <x v="0"/>
    <x v="120"/>
    <n v="127"/>
    <x v="3"/>
    <b v="0"/>
    <x v="1"/>
    <n v="63175.83"/>
    <x v="1"/>
  </r>
  <r>
    <x v="1"/>
    <x v="1"/>
    <n v="23.75"/>
    <x v="0"/>
    <x v="1"/>
    <x v="3"/>
    <x v="121"/>
    <n v="137.69999999999999"/>
    <x v="1"/>
    <b v="1"/>
    <x v="1"/>
    <n v="88925.62"/>
    <x v="0"/>
  </r>
  <r>
    <x v="35"/>
    <x v="0"/>
    <n v="28.975000000000001"/>
    <x v="0"/>
    <x v="1"/>
    <x v="2"/>
    <x v="122"/>
    <n v="131.69999999999999"/>
    <x v="2"/>
    <b v="0"/>
    <x v="2"/>
    <n v="61413.22"/>
    <x v="0"/>
  </r>
  <r>
    <x v="37"/>
    <x v="1"/>
    <n v="31.35"/>
    <x v="1"/>
    <x v="0"/>
    <x v="3"/>
    <x v="123"/>
    <n v="139.80000000000001"/>
    <x v="2"/>
    <b v="1"/>
    <x v="2"/>
    <n v="159520.04"/>
    <x v="1"/>
  </r>
  <r>
    <x v="43"/>
    <x v="0"/>
    <n v="33.914999999999999"/>
    <x v="2"/>
    <x v="1"/>
    <x v="2"/>
    <x v="124"/>
    <n v="115.1"/>
    <x v="1"/>
    <b v="1"/>
    <x v="1"/>
    <n v="61868.4"/>
    <x v="1"/>
  </r>
  <r>
    <x v="22"/>
    <x v="0"/>
    <n v="28.785"/>
    <x v="0"/>
    <x v="1"/>
    <x v="3"/>
    <x v="125"/>
    <n v="119.8"/>
    <x v="3"/>
    <b v="1"/>
    <x v="1"/>
    <n v="183649.14"/>
    <x v="0"/>
  </r>
  <r>
    <x v="0"/>
    <x v="0"/>
    <n v="28.3"/>
    <x v="0"/>
    <x v="0"/>
    <x v="0"/>
    <x v="126"/>
    <n v="127.7"/>
    <x v="2"/>
    <b v="1"/>
    <x v="1"/>
    <n v="140376.6"/>
    <x v="0"/>
  </r>
  <r>
    <x v="14"/>
    <x v="0"/>
    <n v="37.4"/>
    <x v="0"/>
    <x v="1"/>
    <x v="0"/>
    <x v="127"/>
    <n v="123.4"/>
    <x v="2"/>
    <b v="1"/>
    <x v="0"/>
    <n v="89758.93"/>
    <x v="2"/>
  </r>
  <r>
    <x v="4"/>
    <x v="0"/>
    <n v="17.765000000000001"/>
    <x v="3"/>
    <x v="0"/>
    <x v="2"/>
    <x v="128"/>
    <n v="116.3"/>
    <x v="0"/>
    <b v="0"/>
    <x v="2"/>
    <n v="57312.86"/>
    <x v="1"/>
  </r>
  <r>
    <x v="26"/>
    <x v="1"/>
    <n v="34.700000000000003"/>
    <x v="3"/>
    <x v="1"/>
    <x v="0"/>
    <x v="129"/>
    <n v="128.30000000000001"/>
    <x v="1"/>
    <b v="1"/>
    <x v="2"/>
    <n v="49469.85"/>
    <x v="1"/>
  </r>
  <r>
    <x v="18"/>
    <x v="0"/>
    <n v="26.504999999999999"/>
    <x v="0"/>
    <x v="1"/>
    <x v="3"/>
    <x v="130"/>
    <n v="129.5"/>
    <x v="0"/>
    <b v="1"/>
    <x v="1"/>
    <n v="187808.97"/>
    <x v="2"/>
  </r>
  <r>
    <x v="36"/>
    <x v="0"/>
    <n v="22.04"/>
    <x v="0"/>
    <x v="1"/>
    <x v="3"/>
    <x v="131"/>
    <n v="113.7"/>
    <x v="3"/>
    <b v="0"/>
    <x v="1"/>
    <n v="48057.45"/>
    <x v="2"/>
  </r>
  <r>
    <x v="32"/>
    <x v="0"/>
    <n v="35.9"/>
    <x v="3"/>
    <x v="1"/>
    <x v="0"/>
    <x v="132"/>
    <n v="117.3"/>
    <x v="2"/>
    <b v="1"/>
    <x v="0"/>
    <n v="104477.41"/>
    <x v="2"/>
  </r>
  <r>
    <x v="0"/>
    <x v="1"/>
    <n v="25.555"/>
    <x v="0"/>
    <x v="1"/>
    <x v="2"/>
    <x v="133"/>
    <n v="117.7"/>
    <x v="0"/>
    <b v="0"/>
    <x v="0"/>
    <n v="70991.009999999995"/>
    <x v="0"/>
  </r>
  <r>
    <x v="35"/>
    <x v="0"/>
    <n v="28.785"/>
    <x v="0"/>
    <x v="1"/>
    <x v="3"/>
    <x v="134"/>
    <n v="115.8"/>
    <x v="2"/>
    <b v="0"/>
    <x v="2"/>
    <n v="161352.43"/>
    <x v="0"/>
  </r>
  <r>
    <x v="21"/>
    <x v="0"/>
    <n v="28.05"/>
    <x v="0"/>
    <x v="1"/>
    <x v="1"/>
    <x v="135"/>
    <n v="112.9"/>
    <x v="1"/>
    <b v="0"/>
    <x v="0"/>
    <n v="129949.81"/>
    <x v="0"/>
  </r>
  <r>
    <x v="0"/>
    <x v="1"/>
    <n v="34.1"/>
    <x v="0"/>
    <x v="1"/>
    <x v="0"/>
    <x v="136"/>
    <n v="133.1"/>
    <x v="1"/>
    <b v="0"/>
    <x v="1"/>
    <n v="42185.36"/>
    <x v="0"/>
  </r>
  <r>
    <x v="21"/>
    <x v="1"/>
    <n v="25.175000000000001"/>
    <x v="0"/>
    <x v="1"/>
    <x v="2"/>
    <x v="137"/>
    <n v="118.4"/>
    <x v="3"/>
    <b v="0"/>
    <x v="1"/>
    <n v="139565.62"/>
    <x v="0"/>
  </r>
  <r>
    <x v="41"/>
    <x v="0"/>
    <n v="31.9"/>
    <x v="2"/>
    <x v="1"/>
    <x v="1"/>
    <x v="138"/>
    <n v="135.30000000000001"/>
    <x v="1"/>
    <b v="0"/>
    <x v="0"/>
    <n v="136752.21"/>
    <x v="2"/>
  </r>
  <r>
    <x v="21"/>
    <x v="0"/>
    <n v="36"/>
    <x v="0"/>
    <x v="1"/>
    <x v="0"/>
    <x v="139"/>
    <n v="135.9"/>
    <x v="3"/>
    <b v="0"/>
    <x v="1"/>
    <n v="78575.429999999993"/>
    <x v="0"/>
  </r>
  <r>
    <x v="17"/>
    <x v="1"/>
    <n v="22.42"/>
    <x v="3"/>
    <x v="1"/>
    <x v="3"/>
    <x v="140"/>
    <n v="123.1"/>
    <x v="1"/>
    <b v="1"/>
    <x v="2"/>
    <n v="199584.85"/>
    <x v="1"/>
  </r>
  <r>
    <x v="22"/>
    <x v="1"/>
    <n v="32.49"/>
    <x v="1"/>
    <x v="1"/>
    <x v="3"/>
    <x v="141"/>
    <n v="127.3"/>
    <x v="0"/>
    <b v="0"/>
    <x v="1"/>
    <n v="163812.73000000001"/>
    <x v="0"/>
  </r>
  <r>
    <x v="17"/>
    <x v="1"/>
    <n v="25.3"/>
    <x v="3"/>
    <x v="0"/>
    <x v="1"/>
    <x v="142"/>
    <n v="127.8"/>
    <x v="2"/>
    <b v="0"/>
    <x v="2"/>
    <n v="127640.23"/>
    <x v="1"/>
  </r>
  <r>
    <x v="39"/>
    <x v="1"/>
    <n v="29.734999999999999"/>
    <x v="3"/>
    <x v="1"/>
    <x v="2"/>
    <x v="143"/>
    <n v="130.30000000000001"/>
    <x v="2"/>
    <b v="1"/>
    <x v="0"/>
    <n v="77817.94"/>
    <x v="0"/>
  </r>
  <r>
    <x v="16"/>
    <x v="1"/>
    <n v="28.69"/>
    <x v="2"/>
    <x v="0"/>
    <x v="2"/>
    <x v="144"/>
    <n v="120.9"/>
    <x v="1"/>
    <b v="1"/>
    <x v="0"/>
    <n v="78865.62"/>
    <x v="1"/>
  </r>
  <r>
    <x v="39"/>
    <x v="0"/>
    <n v="38.83"/>
    <x v="2"/>
    <x v="1"/>
    <x v="1"/>
    <x v="145"/>
    <n v="126.7"/>
    <x v="3"/>
    <b v="1"/>
    <x v="1"/>
    <n v="39888.870000000003"/>
    <x v="0"/>
  </r>
  <r>
    <x v="6"/>
    <x v="1"/>
    <n v="30.495000000000001"/>
    <x v="2"/>
    <x v="0"/>
    <x v="2"/>
    <x v="146"/>
    <n v="125.1"/>
    <x v="1"/>
    <b v="0"/>
    <x v="2"/>
    <n v="121670.15"/>
    <x v="1"/>
  </r>
  <r>
    <x v="44"/>
    <x v="0"/>
    <n v="37.729999999999997"/>
    <x v="1"/>
    <x v="1"/>
    <x v="1"/>
    <x v="147"/>
    <n v="126.3"/>
    <x v="1"/>
    <b v="1"/>
    <x v="1"/>
    <n v="43572.26"/>
    <x v="2"/>
  </r>
  <r>
    <x v="32"/>
    <x v="0"/>
    <n v="37.43"/>
    <x v="1"/>
    <x v="1"/>
    <x v="2"/>
    <x v="148"/>
    <n v="110.3"/>
    <x v="3"/>
    <b v="0"/>
    <x v="2"/>
    <n v="36437.11"/>
    <x v="2"/>
  </r>
  <r>
    <x v="0"/>
    <x v="1"/>
    <n v="28.4"/>
    <x v="1"/>
    <x v="1"/>
    <x v="0"/>
    <x v="149"/>
    <n v="122.1"/>
    <x v="0"/>
    <b v="0"/>
    <x v="0"/>
    <n v="134843.92000000001"/>
    <x v="0"/>
  </r>
  <r>
    <x v="23"/>
    <x v="1"/>
    <n v="24.13"/>
    <x v="1"/>
    <x v="1"/>
    <x v="2"/>
    <x v="150"/>
    <n v="112.2"/>
    <x v="1"/>
    <b v="0"/>
    <x v="0"/>
    <n v="108644.82"/>
    <x v="1"/>
  </r>
  <r>
    <x v="29"/>
    <x v="1"/>
    <n v="29.7"/>
    <x v="0"/>
    <x v="1"/>
    <x v="1"/>
    <x v="151"/>
    <n v="110.3"/>
    <x v="2"/>
    <b v="1"/>
    <x v="1"/>
    <n v="132822.17000000001"/>
    <x v="1"/>
  </r>
  <r>
    <x v="4"/>
    <x v="0"/>
    <n v="37.145000000000003"/>
    <x v="2"/>
    <x v="1"/>
    <x v="3"/>
    <x v="152"/>
    <n v="122.5"/>
    <x v="3"/>
    <b v="0"/>
    <x v="0"/>
    <n v="91505.33"/>
    <x v="1"/>
  </r>
  <r>
    <x v="45"/>
    <x v="0"/>
    <n v="23.37"/>
    <x v="0"/>
    <x v="0"/>
    <x v="3"/>
    <x v="153"/>
    <n v="121.4"/>
    <x v="0"/>
    <b v="0"/>
    <x v="1"/>
    <n v="55273.38"/>
    <x v="1"/>
  </r>
  <r>
    <x v="30"/>
    <x v="0"/>
    <n v="25.46"/>
    <x v="1"/>
    <x v="1"/>
    <x v="3"/>
    <x v="154"/>
    <n v="119.4"/>
    <x v="0"/>
    <b v="1"/>
    <x v="2"/>
    <n v="33993.54"/>
    <x v="1"/>
  </r>
  <r>
    <x v="37"/>
    <x v="1"/>
    <n v="39.520000000000003"/>
    <x v="0"/>
    <x v="1"/>
    <x v="2"/>
    <x v="155"/>
    <n v="126.1"/>
    <x v="2"/>
    <b v="0"/>
    <x v="2"/>
    <n v="37983.06"/>
    <x v="1"/>
  </r>
  <r>
    <x v="29"/>
    <x v="1"/>
    <n v="24.42"/>
    <x v="0"/>
    <x v="0"/>
    <x v="1"/>
    <x v="156"/>
    <n v="115.4"/>
    <x v="3"/>
    <b v="0"/>
    <x v="2"/>
    <n v="30662.67"/>
    <x v="1"/>
  </r>
  <r>
    <x v="1"/>
    <x v="1"/>
    <n v="25.175000000000001"/>
    <x v="0"/>
    <x v="0"/>
    <x v="3"/>
    <x v="157"/>
    <n v="114"/>
    <x v="0"/>
    <b v="1"/>
    <x v="2"/>
    <n v="55582.52"/>
    <x v="0"/>
  </r>
  <r>
    <x v="16"/>
    <x v="1"/>
    <n v="35.53"/>
    <x v="0"/>
    <x v="0"/>
    <x v="1"/>
    <x v="158"/>
    <n v="119.6"/>
    <x v="2"/>
    <b v="1"/>
    <x v="1"/>
    <n v="176162.09"/>
    <x v="1"/>
  </r>
  <r>
    <x v="46"/>
    <x v="0"/>
    <n v="27.83"/>
    <x v="2"/>
    <x v="1"/>
    <x v="1"/>
    <x v="159"/>
    <n v="133.6"/>
    <x v="2"/>
    <b v="0"/>
    <x v="2"/>
    <n v="43917.9"/>
    <x v="1"/>
  </r>
  <r>
    <x v="45"/>
    <x v="0"/>
    <n v="26.6"/>
    <x v="0"/>
    <x v="0"/>
    <x v="2"/>
    <x v="160"/>
    <n v="113.9"/>
    <x v="3"/>
    <b v="0"/>
    <x v="0"/>
    <n v="44467.91"/>
    <x v="1"/>
  </r>
  <r>
    <x v="1"/>
    <x v="0"/>
    <n v="36.85"/>
    <x v="0"/>
    <x v="0"/>
    <x v="1"/>
    <x v="161"/>
    <n v="129.4"/>
    <x v="0"/>
    <b v="1"/>
    <x v="1"/>
    <n v="58989.41"/>
    <x v="0"/>
  </r>
  <r>
    <x v="41"/>
    <x v="1"/>
    <n v="39.6"/>
    <x v="1"/>
    <x v="1"/>
    <x v="0"/>
    <x v="162"/>
    <n v="116.7"/>
    <x v="1"/>
    <b v="1"/>
    <x v="2"/>
    <n v="144647.35"/>
    <x v="2"/>
  </r>
  <r>
    <x v="4"/>
    <x v="0"/>
    <n v="29.8"/>
    <x v="3"/>
    <x v="1"/>
    <x v="0"/>
    <x v="163"/>
    <n v="139"/>
    <x v="1"/>
    <b v="0"/>
    <x v="0"/>
    <n v="88899.37"/>
    <x v="1"/>
  </r>
  <r>
    <x v="7"/>
    <x v="1"/>
    <n v="29.64"/>
    <x v="0"/>
    <x v="1"/>
    <x v="2"/>
    <x v="164"/>
    <n v="115.6"/>
    <x v="1"/>
    <b v="0"/>
    <x v="0"/>
    <n v="144821.19"/>
    <x v="1"/>
  </r>
  <r>
    <x v="43"/>
    <x v="1"/>
    <n v="28.215"/>
    <x v="5"/>
    <x v="1"/>
    <x v="3"/>
    <x v="165"/>
    <n v="130"/>
    <x v="2"/>
    <b v="0"/>
    <x v="2"/>
    <n v="73489.06"/>
    <x v="1"/>
  </r>
  <r>
    <x v="35"/>
    <x v="0"/>
    <n v="37"/>
    <x v="4"/>
    <x v="1"/>
    <x v="0"/>
    <x v="166"/>
    <n v="121.2"/>
    <x v="0"/>
    <b v="0"/>
    <x v="1"/>
    <n v="196334.84"/>
    <x v="0"/>
  </r>
  <r>
    <x v="4"/>
    <x v="0"/>
    <n v="33.155000000000001"/>
    <x v="2"/>
    <x v="1"/>
    <x v="2"/>
    <x v="167"/>
    <n v="123.4"/>
    <x v="2"/>
    <b v="1"/>
    <x v="2"/>
    <n v="105715.38"/>
    <x v="1"/>
  </r>
  <r>
    <x v="0"/>
    <x v="0"/>
    <n v="31.824999999999999"/>
    <x v="1"/>
    <x v="1"/>
    <x v="2"/>
    <x v="168"/>
    <n v="118.5"/>
    <x v="0"/>
    <b v="1"/>
    <x v="2"/>
    <n v="64883.56"/>
    <x v="0"/>
  </r>
  <r>
    <x v="13"/>
    <x v="1"/>
    <n v="18.905000000000001"/>
    <x v="2"/>
    <x v="1"/>
    <x v="3"/>
    <x v="169"/>
    <n v="113"/>
    <x v="2"/>
    <b v="1"/>
    <x v="1"/>
    <n v="31223.81"/>
    <x v="0"/>
  </r>
  <r>
    <x v="19"/>
    <x v="1"/>
    <n v="41.47"/>
    <x v="0"/>
    <x v="1"/>
    <x v="1"/>
    <x v="170"/>
    <n v="126.9"/>
    <x v="3"/>
    <b v="1"/>
    <x v="0"/>
    <n v="67483.13"/>
    <x v="2"/>
  </r>
  <r>
    <x v="42"/>
    <x v="1"/>
    <n v="30.3"/>
    <x v="0"/>
    <x v="1"/>
    <x v="0"/>
    <x v="171"/>
    <n v="113"/>
    <x v="3"/>
    <b v="0"/>
    <x v="2"/>
    <n v="57347.99"/>
    <x v="1"/>
  </r>
  <r>
    <x v="1"/>
    <x v="1"/>
    <n v="15.96"/>
    <x v="0"/>
    <x v="1"/>
    <x v="3"/>
    <x v="172"/>
    <n v="134.6"/>
    <x v="3"/>
    <b v="0"/>
    <x v="0"/>
    <n v="47634.28"/>
    <x v="0"/>
  </r>
  <r>
    <x v="23"/>
    <x v="0"/>
    <n v="34.799999999999997"/>
    <x v="1"/>
    <x v="1"/>
    <x v="0"/>
    <x v="173"/>
    <n v="133"/>
    <x v="2"/>
    <b v="0"/>
    <x v="1"/>
    <n v="159430.10999999999"/>
    <x v="1"/>
  </r>
  <r>
    <x v="24"/>
    <x v="0"/>
    <n v="33.344999999999999"/>
    <x v="0"/>
    <x v="1"/>
    <x v="2"/>
    <x v="174"/>
    <n v="138.5"/>
    <x v="1"/>
    <b v="1"/>
    <x v="2"/>
    <n v="100451.7"/>
    <x v="0"/>
  </r>
  <r>
    <x v="19"/>
    <x v="0"/>
    <n v="37.700000000000003"/>
    <x v="0"/>
    <x v="0"/>
    <x v="0"/>
    <x v="175"/>
    <n v="125.4"/>
    <x v="3"/>
    <b v="0"/>
    <x v="1"/>
    <n v="82715.960000000006"/>
    <x v="2"/>
  </r>
  <r>
    <x v="26"/>
    <x v="1"/>
    <n v="27.835000000000001"/>
    <x v="3"/>
    <x v="1"/>
    <x v="2"/>
    <x v="176"/>
    <n v="132.19999999999999"/>
    <x v="1"/>
    <b v="0"/>
    <x v="2"/>
    <n v="153652.18"/>
    <x v="1"/>
  </r>
  <r>
    <x v="41"/>
    <x v="1"/>
    <n v="29.2"/>
    <x v="1"/>
    <x v="1"/>
    <x v="0"/>
    <x v="177"/>
    <n v="127.1"/>
    <x v="2"/>
    <b v="0"/>
    <x v="2"/>
    <n v="87984.8"/>
    <x v="2"/>
  </r>
  <r>
    <x v="6"/>
    <x v="0"/>
    <n v="28.9"/>
    <x v="3"/>
    <x v="1"/>
    <x v="0"/>
    <x v="178"/>
    <n v="129.19999999999999"/>
    <x v="0"/>
    <b v="1"/>
    <x v="1"/>
    <n v="76436.09"/>
    <x v="1"/>
  </r>
  <r>
    <x v="25"/>
    <x v="0"/>
    <n v="33.155000000000001"/>
    <x v="2"/>
    <x v="1"/>
    <x v="3"/>
    <x v="179"/>
    <n v="114.8"/>
    <x v="3"/>
    <b v="1"/>
    <x v="2"/>
    <n v="95273.55"/>
    <x v="1"/>
  </r>
  <r>
    <x v="31"/>
    <x v="1"/>
    <n v="28.594999999999999"/>
    <x v="0"/>
    <x v="1"/>
    <x v="2"/>
    <x v="180"/>
    <n v="112.1"/>
    <x v="3"/>
    <b v="0"/>
    <x v="0"/>
    <n v="49621.32"/>
    <x v="2"/>
  </r>
  <r>
    <x v="1"/>
    <x v="0"/>
    <n v="38.28"/>
    <x v="0"/>
    <x v="1"/>
    <x v="1"/>
    <x v="181"/>
    <n v="116.3"/>
    <x v="3"/>
    <b v="1"/>
    <x v="1"/>
    <n v="82691.34"/>
    <x v="0"/>
  </r>
  <r>
    <x v="21"/>
    <x v="1"/>
    <n v="19.95"/>
    <x v="2"/>
    <x v="1"/>
    <x v="3"/>
    <x v="182"/>
    <n v="139.80000000000001"/>
    <x v="2"/>
    <b v="0"/>
    <x v="0"/>
    <n v="190346.56"/>
    <x v="0"/>
  </r>
  <r>
    <x v="37"/>
    <x v="0"/>
    <n v="26.41"/>
    <x v="0"/>
    <x v="1"/>
    <x v="2"/>
    <x v="183"/>
    <n v="134.9"/>
    <x v="1"/>
    <b v="1"/>
    <x v="1"/>
    <n v="35788.199999999997"/>
    <x v="1"/>
  </r>
  <r>
    <x v="37"/>
    <x v="1"/>
    <n v="30.69"/>
    <x v="3"/>
    <x v="1"/>
    <x v="1"/>
    <x v="184"/>
    <n v="130.4"/>
    <x v="2"/>
    <b v="1"/>
    <x v="1"/>
    <n v="137112.72"/>
    <x v="1"/>
  </r>
  <r>
    <x v="27"/>
    <x v="1"/>
    <n v="41.895000000000003"/>
    <x v="2"/>
    <x v="0"/>
    <x v="3"/>
    <x v="185"/>
    <n v="133"/>
    <x v="1"/>
    <b v="0"/>
    <x v="2"/>
    <n v="57868.94"/>
    <x v="1"/>
  </r>
  <r>
    <x v="22"/>
    <x v="0"/>
    <n v="29.92"/>
    <x v="3"/>
    <x v="1"/>
    <x v="1"/>
    <x v="186"/>
    <n v="126.1"/>
    <x v="2"/>
    <b v="0"/>
    <x v="2"/>
    <n v="82032.789999999994"/>
    <x v="0"/>
  </r>
  <r>
    <x v="16"/>
    <x v="0"/>
    <n v="30.9"/>
    <x v="2"/>
    <x v="1"/>
    <x v="0"/>
    <x v="187"/>
    <n v="113.9"/>
    <x v="2"/>
    <b v="1"/>
    <x v="0"/>
    <n v="120336.4"/>
    <x v="1"/>
  </r>
  <r>
    <x v="25"/>
    <x v="0"/>
    <n v="32.200000000000003"/>
    <x v="1"/>
    <x v="1"/>
    <x v="0"/>
    <x v="188"/>
    <n v="129"/>
    <x v="3"/>
    <b v="0"/>
    <x v="2"/>
    <n v="148291.60999999999"/>
    <x v="1"/>
  </r>
  <r>
    <x v="39"/>
    <x v="0"/>
    <n v="32.11"/>
    <x v="3"/>
    <x v="1"/>
    <x v="2"/>
    <x v="189"/>
    <n v="137.30000000000001"/>
    <x v="1"/>
    <b v="0"/>
    <x v="2"/>
    <n v="119312.27"/>
    <x v="0"/>
  </r>
  <r>
    <x v="36"/>
    <x v="1"/>
    <n v="31.57"/>
    <x v="0"/>
    <x v="1"/>
    <x v="1"/>
    <x v="190"/>
    <n v="120.1"/>
    <x v="2"/>
    <b v="1"/>
    <x v="0"/>
    <n v="72459.8"/>
    <x v="2"/>
  </r>
  <r>
    <x v="27"/>
    <x v="0"/>
    <n v="26.2"/>
    <x v="0"/>
    <x v="1"/>
    <x v="0"/>
    <x v="191"/>
    <n v="132"/>
    <x v="1"/>
    <b v="1"/>
    <x v="0"/>
    <n v="130061.18"/>
    <x v="1"/>
  </r>
  <r>
    <x v="9"/>
    <x v="1"/>
    <n v="25.74"/>
    <x v="0"/>
    <x v="1"/>
    <x v="1"/>
    <x v="192"/>
    <n v="118.5"/>
    <x v="0"/>
    <b v="0"/>
    <x v="2"/>
    <n v="78851.39"/>
    <x v="0"/>
  </r>
  <r>
    <x v="12"/>
    <x v="0"/>
    <n v="26.6"/>
    <x v="1"/>
    <x v="1"/>
    <x v="2"/>
    <x v="193"/>
    <n v="113.8"/>
    <x v="2"/>
    <b v="0"/>
    <x v="0"/>
    <n v="65797.67"/>
    <x v="2"/>
  </r>
  <r>
    <x v="1"/>
    <x v="1"/>
    <n v="34.43"/>
    <x v="0"/>
    <x v="1"/>
    <x v="1"/>
    <x v="194"/>
    <n v="118.5"/>
    <x v="0"/>
    <b v="0"/>
    <x v="0"/>
    <n v="155459.63"/>
    <x v="0"/>
  </r>
  <r>
    <x v="0"/>
    <x v="1"/>
    <n v="30.59"/>
    <x v="0"/>
    <x v="1"/>
    <x v="2"/>
    <x v="195"/>
    <n v="133.69999999999999"/>
    <x v="3"/>
    <b v="0"/>
    <x v="1"/>
    <n v="93529.600000000006"/>
    <x v="0"/>
  </r>
  <r>
    <x v="11"/>
    <x v="0"/>
    <n v="32.799999999999997"/>
    <x v="0"/>
    <x v="1"/>
    <x v="0"/>
    <x v="196"/>
    <n v="125.9"/>
    <x v="3"/>
    <b v="1"/>
    <x v="2"/>
    <n v="55462.29"/>
    <x v="1"/>
  </r>
  <r>
    <x v="40"/>
    <x v="0"/>
    <n v="28.6"/>
    <x v="3"/>
    <x v="1"/>
    <x v="1"/>
    <x v="197"/>
    <n v="137.1"/>
    <x v="3"/>
    <b v="0"/>
    <x v="2"/>
    <n v="61138.86"/>
    <x v="1"/>
  </r>
  <r>
    <x v="44"/>
    <x v="0"/>
    <n v="18.05"/>
    <x v="0"/>
    <x v="1"/>
    <x v="2"/>
    <x v="198"/>
    <n v="126"/>
    <x v="3"/>
    <b v="1"/>
    <x v="0"/>
    <n v="143534.25"/>
    <x v="2"/>
  </r>
  <r>
    <x v="34"/>
    <x v="0"/>
    <n v="39.33"/>
    <x v="0"/>
    <x v="1"/>
    <x v="3"/>
    <x v="199"/>
    <n v="113.8"/>
    <x v="1"/>
    <b v="1"/>
    <x v="1"/>
    <n v="34190.129999999997"/>
    <x v="2"/>
  </r>
  <r>
    <x v="0"/>
    <x v="0"/>
    <n v="32.11"/>
    <x v="0"/>
    <x v="1"/>
    <x v="2"/>
    <x v="200"/>
    <n v="136.5"/>
    <x v="3"/>
    <b v="0"/>
    <x v="2"/>
    <n v="147890.10999999999"/>
    <x v="0"/>
  </r>
  <r>
    <x v="29"/>
    <x v="0"/>
    <n v="32.229999999999997"/>
    <x v="1"/>
    <x v="1"/>
    <x v="1"/>
    <x v="201"/>
    <n v="132"/>
    <x v="2"/>
    <b v="0"/>
    <x v="2"/>
    <n v="186490.12"/>
    <x v="1"/>
  </r>
  <r>
    <x v="8"/>
    <x v="0"/>
    <n v="24.035"/>
    <x v="0"/>
    <x v="1"/>
    <x v="2"/>
    <x v="202"/>
    <n v="113.6"/>
    <x v="3"/>
    <b v="1"/>
    <x v="0"/>
    <n v="185846.73"/>
    <x v="2"/>
  </r>
  <r>
    <x v="13"/>
    <x v="0"/>
    <n v="36.08"/>
    <x v="0"/>
    <x v="0"/>
    <x v="1"/>
    <x v="203"/>
    <n v="113.8"/>
    <x v="0"/>
    <b v="0"/>
    <x v="1"/>
    <n v="85366.63"/>
    <x v="0"/>
  </r>
  <r>
    <x v="6"/>
    <x v="1"/>
    <n v="22.3"/>
    <x v="0"/>
    <x v="1"/>
    <x v="0"/>
    <x v="204"/>
    <n v="138.5"/>
    <x v="1"/>
    <b v="0"/>
    <x v="1"/>
    <n v="89954.51"/>
    <x v="1"/>
  </r>
  <r>
    <x v="2"/>
    <x v="0"/>
    <n v="28.88"/>
    <x v="1"/>
    <x v="1"/>
    <x v="3"/>
    <x v="205"/>
    <n v="118.2"/>
    <x v="3"/>
    <b v="0"/>
    <x v="0"/>
    <n v="34654.49"/>
    <x v="0"/>
  </r>
  <r>
    <x v="18"/>
    <x v="1"/>
    <n v="26.4"/>
    <x v="0"/>
    <x v="1"/>
    <x v="1"/>
    <x v="206"/>
    <n v="116.4"/>
    <x v="1"/>
    <b v="0"/>
    <x v="1"/>
    <n v="81984.399999999994"/>
    <x v="2"/>
  </r>
  <r>
    <x v="23"/>
    <x v="1"/>
    <n v="27.74"/>
    <x v="3"/>
    <x v="0"/>
    <x v="3"/>
    <x v="207"/>
    <n v="130.19999999999999"/>
    <x v="1"/>
    <b v="0"/>
    <x v="0"/>
    <n v="54148.22"/>
    <x v="1"/>
  </r>
  <r>
    <x v="19"/>
    <x v="0"/>
    <n v="31.8"/>
    <x v="0"/>
    <x v="1"/>
    <x v="0"/>
    <x v="208"/>
    <n v="122"/>
    <x v="2"/>
    <b v="0"/>
    <x v="0"/>
    <n v="165129.35999999999"/>
    <x v="2"/>
  </r>
  <r>
    <x v="30"/>
    <x v="1"/>
    <n v="41.23"/>
    <x v="1"/>
    <x v="1"/>
    <x v="3"/>
    <x v="209"/>
    <n v="138"/>
    <x v="2"/>
    <b v="0"/>
    <x v="0"/>
    <n v="141884.49"/>
    <x v="1"/>
  </r>
  <r>
    <x v="35"/>
    <x v="1"/>
    <n v="33"/>
    <x v="1"/>
    <x v="1"/>
    <x v="0"/>
    <x v="210"/>
    <n v="114.2"/>
    <x v="0"/>
    <b v="0"/>
    <x v="1"/>
    <n v="101085.75999999999"/>
    <x v="0"/>
  </r>
  <r>
    <x v="30"/>
    <x v="1"/>
    <n v="30.875"/>
    <x v="5"/>
    <x v="1"/>
    <x v="2"/>
    <x v="211"/>
    <n v="113.4"/>
    <x v="1"/>
    <b v="1"/>
    <x v="2"/>
    <n v="188281.46"/>
    <x v="1"/>
  </r>
  <r>
    <x v="24"/>
    <x v="1"/>
    <n v="28.5"/>
    <x v="3"/>
    <x v="1"/>
    <x v="2"/>
    <x v="212"/>
    <n v="125.5"/>
    <x v="3"/>
    <b v="1"/>
    <x v="0"/>
    <n v="149812.56"/>
    <x v="0"/>
  </r>
  <r>
    <x v="17"/>
    <x v="0"/>
    <n v="26.73"/>
    <x v="1"/>
    <x v="1"/>
    <x v="1"/>
    <x v="213"/>
    <n v="127.3"/>
    <x v="3"/>
    <b v="0"/>
    <x v="0"/>
    <n v="92195.41"/>
    <x v="1"/>
  </r>
  <r>
    <x v="40"/>
    <x v="0"/>
    <n v="30.9"/>
    <x v="3"/>
    <x v="1"/>
    <x v="0"/>
    <x v="214"/>
    <n v="119.5"/>
    <x v="1"/>
    <b v="1"/>
    <x v="0"/>
    <n v="75601.81"/>
    <x v="1"/>
  </r>
  <r>
    <x v="25"/>
    <x v="0"/>
    <n v="37.1"/>
    <x v="3"/>
    <x v="1"/>
    <x v="0"/>
    <x v="215"/>
    <n v="118.6"/>
    <x v="0"/>
    <b v="1"/>
    <x v="2"/>
    <n v="130995.6"/>
    <x v="1"/>
  </r>
  <r>
    <x v="32"/>
    <x v="0"/>
    <n v="26.6"/>
    <x v="0"/>
    <x v="1"/>
    <x v="2"/>
    <x v="216"/>
    <n v="117.6"/>
    <x v="3"/>
    <b v="1"/>
    <x v="1"/>
    <n v="115962.98"/>
    <x v="2"/>
  </r>
  <r>
    <x v="13"/>
    <x v="1"/>
    <n v="23.1"/>
    <x v="0"/>
    <x v="1"/>
    <x v="1"/>
    <x v="217"/>
    <n v="134.19999999999999"/>
    <x v="1"/>
    <b v="0"/>
    <x v="0"/>
    <n v="30193.02"/>
    <x v="0"/>
  </r>
  <r>
    <x v="22"/>
    <x v="0"/>
    <n v="29.92"/>
    <x v="1"/>
    <x v="1"/>
    <x v="1"/>
    <x v="218"/>
    <n v="132"/>
    <x v="2"/>
    <b v="1"/>
    <x v="0"/>
    <n v="82816.62"/>
    <x v="0"/>
  </r>
  <r>
    <x v="24"/>
    <x v="0"/>
    <n v="23.21"/>
    <x v="0"/>
    <x v="1"/>
    <x v="1"/>
    <x v="219"/>
    <n v="124.7"/>
    <x v="3"/>
    <b v="0"/>
    <x v="2"/>
    <n v="130918.31"/>
    <x v="0"/>
  </r>
  <r>
    <x v="17"/>
    <x v="0"/>
    <n v="33.700000000000003"/>
    <x v="1"/>
    <x v="1"/>
    <x v="0"/>
    <x v="220"/>
    <n v="120.8"/>
    <x v="0"/>
    <b v="0"/>
    <x v="1"/>
    <n v="194896.4"/>
    <x v="1"/>
  </r>
  <r>
    <x v="32"/>
    <x v="0"/>
    <n v="33.25"/>
    <x v="0"/>
    <x v="1"/>
    <x v="3"/>
    <x v="221"/>
    <n v="122.8"/>
    <x v="3"/>
    <b v="1"/>
    <x v="0"/>
    <n v="44111.1"/>
    <x v="2"/>
  </r>
  <r>
    <x v="4"/>
    <x v="1"/>
    <n v="30.8"/>
    <x v="2"/>
    <x v="1"/>
    <x v="0"/>
    <x v="222"/>
    <n v="126.4"/>
    <x v="3"/>
    <b v="0"/>
    <x v="0"/>
    <n v="135207.79"/>
    <x v="1"/>
  </r>
  <r>
    <x v="0"/>
    <x v="1"/>
    <n v="34.799999999999997"/>
    <x v="0"/>
    <x v="0"/>
    <x v="0"/>
    <x v="223"/>
    <n v="122.6"/>
    <x v="3"/>
    <b v="1"/>
    <x v="1"/>
    <n v="78608.89"/>
    <x v="0"/>
  </r>
  <r>
    <x v="45"/>
    <x v="1"/>
    <n v="24.64"/>
    <x v="0"/>
    <x v="0"/>
    <x v="1"/>
    <x v="224"/>
    <n v="118.9"/>
    <x v="3"/>
    <b v="1"/>
    <x v="2"/>
    <n v="178888.31"/>
    <x v="1"/>
  </r>
  <r>
    <x v="20"/>
    <x v="1"/>
    <n v="33.880000000000003"/>
    <x v="2"/>
    <x v="1"/>
    <x v="1"/>
    <x v="225"/>
    <n v="120.5"/>
    <x v="0"/>
    <b v="1"/>
    <x v="2"/>
    <n v="62134.47"/>
    <x v="2"/>
  </r>
  <r>
    <x v="2"/>
    <x v="1"/>
    <n v="38.06"/>
    <x v="0"/>
    <x v="1"/>
    <x v="1"/>
    <x v="226"/>
    <n v="125.8"/>
    <x v="2"/>
    <b v="1"/>
    <x v="1"/>
    <n v="132111.87"/>
    <x v="0"/>
  </r>
  <r>
    <x v="31"/>
    <x v="0"/>
    <n v="41.91"/>
    <x v="0"/>
    <x v="1"/>
    <x v="1"/>
    <x v="227"/>
    <n v="116.6"/>
    <x v="3"/>
    <b v="0"/>
    <x v="0"/>
    <n v="119417.4"/>
    <x v="2"/>
  </r>
  <r>
    <x v="25"/>
    <x v="0"/>
    <n v="31.635000000000002"/>
    <x v="1"/>
    <x v="1"/>
    <x v="3"/>
    <x v="228"/>
    <n v="133.5"/>
    <x v="1"/>
    <b v="0"/>
    <x v="1"/>
    <n v="80601.259999999995"/>
    <x v="1"/>
  </r>
  <r>
    <x v="43"/>
    <x v="1"/>
    <n v="25.46"/>
    <x v="3"/>
    <x v="1"/>
    <x v="3"/>
    <x v="229"/>
    <n v="132.69999999999999"/>
    <x v="2"/>
    <b v="0"/>
    <x v="1"/>
    <n v="98121.97"/>
    <x v="1"/>
  </r>
  <r>
    <x v="45"/>
    <x v="0"/>
    <n v="36.195"/>
    <x v="1"/>
    <x v="1"/>
    <x v="2"/>
    <x v="230"/>
    <n v="113.3"/>
    <x v="1"/>
    <b v="1"/>
    <x v="2"/>
    <n v="105593.46"/>
    <x v="1"/>
  </r>
  <r>
    <x v="18"/>
    <x v="0"/>
    <n v="27.83"/>
    <x v="2"/>
    <x v="1"/>
    <x v="1"/>
    <x v="231"/>
    <n v="125.7"/>
    <x v="0"/>
    <b v="1"/>
    <x v="2"/>
    <n v="84878.94"/>
    <x v="2"/>
  </r>
  <r>
    <x v="0"/>
    <x v="0"/>
    <n v="17.8"/>
    <x v="0"/>
    <x v="1"/>
    <x v="0"/>
    <x v="232"/>
    <n v="127.6"/>
    <x v="2"/>
    <b v="0"/>
    <x v="0"/>
    <n v="165443.46"/>
    <x v="0"/>
  </r>
  <r>
    <x v="18"/>
    <x v="1"/>
    <n v="27.5"/>
    <x v="1"/>
    <x v="1"/>
    <x v="0"/>
    <x v="233"/>
    <n v="127.8"/>
    <x v="3"/>
    <b v="0"/>
    <x v="2"/>
    <n v="182412.29"/>
    <x v="2"/>
  </r>
  <r>
    <x v="11"/>
    <x v="1"/>
    <n v="24.51"/>
    <x v="3"/>
    <x v="1"/>
    <x v="2"/>
    <x v="234"/>
    <n v="129.1"/>
    <x v="1"/>
    <b v="1"/>
    <x v="2"/>
    <n v="144133.87"/>
    <x v="1"/>
  </r>
  <r>
    <x v="30"/>
    <x v="0"/>
    <n v="22.22"/>
    <x v="3"/>
    <x v="0"/>
    <x v="1"/>
    <x v="235"/>
    <n v="122.9"/>
    <x v="3"/>
    <b v="1"/>
    <x v="1"/>
    <n v="123924.67"/>
    <x v="1"/>
  </r>
  <r>
    <x v="1"/>
    <x v="0"/>
    <n v="26.73"/>
    <x v="0"/>
    <x v="1"/>
    <x v="1"/>
    <x v="236"/>
    <n v="137"/>
    <x v="0"/>
    <b v="0"/>
    <x v="0"/>
    <n v="174552.49"/>
    <x v="0"/>
  </r>
  <r>
    <x v="5"/>
    <x v="1"/>
    <n v="38.39"/>
    <x v="3"/>
    <x v="1"/>
    <x v="1"/>
    <x v="237"/>
    <n v="110.5"/>
    <x v="3"/>
    <b v="1"/>
    <x v="2"/>
    <n v="179573.17"/>
    <x v="1"/>
  </r>
  <r>
    <x v="0"/>
    <x v="1"/>
    <n v="29.07"/>
    <x v="0"/>
    <x v="0"/>
    <x v="2"/>
    <x v="238"/>
    <n v="136"/>
    <x v="3"/>
    <b v="0"/>
    <x v="0"/>
    <n v="54143.79"/>
    <x v="0"/>
  </r>
  <r>
    <x v="37"/>
    <x v="1"/>
    <n v="38.06"/>
    <x v="1"/>
    <x v="1"/>
    <x v="1"/>
    <x v="239"/>
    <n v="126.2"/>
    <x v="0"/>
    <b v="0"/>
    <x v="1"/>
    <n v="175054.84"/>
    <x v="1"/>
  </r>
  <r>
    <x v="15"/>
    <x v="0"/>
    <n v="36.67"/>
    <x v="3"/>
    <x v="0"/>
    <x v="3"/>
    <x v="240"/>
    <n v="120.1"/>
    <x v="1"/>
    <b v="0"/>
    <x v="2"/>
    <n v="78997.919999999998"/>
    <x v="0"/>
  </r>
  <r>
    <x v="3"/>
    <x v="0"/>
    <n v="22.135000000000002"/>
    <x v="1"/>
    <x v="1"/>
    <x v="3"/>
    <x v="241"/>
    <n v="127.8"/>
    <x v="1"/>
    <b v="1"/>
    <x v="1"/>
    <n v="36980.31"/>
    <x v="1"/>
  </r>
  <r>
    <x v="20"/>
    <x v="0"/>
    <n v="26.8"/>
    <x v="1"/>
    <x v="1"/>
    <x v="0"/>
    <x v="242"/>
    <n v="138"/>
    <x v="1"/>
    <b v="0"/>
    <x v="1"/>
    <n v="167312.59"/>
    <x v="2"/>
  </r>
  <r>
    <x v="30"/>
    <x v="1"/>
    <n v="35.299999999999997"/>
    <x v="2"/>
    <x v="1"/>
    <x v="0"/>
    <x v="243"/>
    <n v="137.80000000000001"/>
    <x v="3"/>
    <b v="1"/>
    <x v="0"/>
    <n v="73548.69"/>
    <x v="1"/>
  </r>
  <r>
    <x v="19"/>
    <x v="0"/>
    <n v="27.74"/>
    <x v="0"/>
    <x v="0"/>
    <x v="3"/>
    <x v="244"/>
    <n v="131.6"/>
    <x v="1"/>
    <b v="0"/>
    <x v="2"/>
    <n v="71817.78"/>
    <x v="2"/>
  </r>
  <r>
    <x v="41"/>
    <x v="1"/>
    <n v="30.02"/>
    <x v="0"/>
    <x v="1"/>
    <x v="2"/>
    <x v="245"/>
    <n v="110.8"/>
    <x v="0"/>
    <b v="0"/>
    <x v="1"/>
    <n v="108462.56"/>
    <x v="2"/>
  </r>
  <r>
    <x v="8"/>
    <x v="0"/>
    <n v="38.06"/>
    <x v="0"/>
    <x v="1"/>
    <x v="1"/>
    <x v="246"/>
    <n v="116"/>
    <x v="0"/>
    <b v="1"/>
    <x v="2"/>
    <n v="97474.03"/>
    <x v="2"/>
  </r>
  <r>
    <x v="24"/>
    <x v="1"/>
    <n v="35.86"/>
    <x v="0"/>
    <x v="1"/>
    <x v="1"/>
    <x v="247"/>
    <n v="114.2"/>
    <x v="0"/>
    <b v="1"/>
    <x v="1"/>
    <n v="77417.36"/>
    <x v="0"/>
  </r>
  <r>
    <x v="0"/>
    <x v="1"/>
    <n v="20.9"/>
    <x v="1"/>
    <x v="1"/>
    <x v="0"/>
    <x v="248"/>
    <n v="136.19999999999999"/>
    <x v="1"/>
    <b v="1"/>
    <x v="0"/>
    <n v="163735.5"/>
    <x v="0"/>
  </r>
  <r>
    <x v="39"/>
    <x v="1"/>
    <n v="28.975000000000001"/>
    <x v="1"/>
    <x v="1"/>
    <x v="3"/>
    <x v="249"/>
    <n v="138.5"/>
    <x v="3"/>
    <b v="0"/>
    <x v="0"/>
    <n v="88170.4"/>
    <x v="0"/>
  </r>
  <r>
    <x v="1"/>
    <x v="1"/>
    <n v="17.29"/>
    <x v="3"/>
    <x v="0"/>
    <x v="3"/>
    <x v="250"/>
    <n v="134.80000000000001"/>
    <x v="1"/>
    <b v="1"/>
    <x v="1"/>
    <n v="121415.51"/>
    <x v="0"/>
  </r>
  <r>
    <x v="19"/>
    <x v="0"/>
    <n v="32.200000000000003"/>
    <x v="3"/>
    <x v="0"/>
    <x v="0"/>
    <x v="251"/>
    <n v="125.5"/>
    <x v="3"/>
    <b v="1"/>
    <x v="2"/>
    <n v="40858.11"/>
    <x v="2"/>
  </r>
  <r>
    <x v="41"/>
    <x v="1"/>
    <n v="34.21"/>
    <x v="3"/>
    <x v="0"/>
    <x v="1"/>
    <x v="252"/>
    <n v="118.9"/>
    <x v="0"/>
    <b v="0"/>
    <x v="0"/>
    <n v="117610.34"/>
    <x v="2"/>
  </r>
  <r>
    <x v="13"/>
    <x v="1"/>
    <n v="30.3"/>
    <x v="2"/>
    <x v="1"/>
    <x v="0"/>
    <x v="253"/>
    <n v="129.6"/>
    <x v="1"/>
    <b v="0"/>
    <x v="1"/>
    <n v="57836.66"/>
    <x v="0"/>
  </r>
  <r>
    <x v="46"/>
    <x v="1"/>
    <n v="31.824999999999999"/>
    <x v="0"/>
    <x v="0"/>
    <x v="3"/>
    <x v="254"/>
    <n v="137.30000000000001"/>
    <x v="1"/>
    <b v="0"/>
    <x v="2"/>
    <n v="182257.33"/>
    <x v="1"/>
  </r>
  <r>
    <x v="20"/>
    <x v="0"/>
    <n v="25.364999999999998"/>
    <x v="2"/>
    <x v="1"/>
    <x v="3"/>
    <x v="255"/>
    <n v="133.5"/>
    <x v="0"/>
    <b v="0"/>
    <x v="2"/>
    <n v="169208.14"/>
    <x v="2"/>
  </r>
  <r>
    <x v="12"/>
    <x v="1"/>
    <n v="33.630000000000003"/>
    <x v="0"/>
    <x v="0"/>
    <x v="2"/>
    <x v="256"/>
    <n v="138.80000000000001"/>
    <x v="0"/>
    <b v="1"/>
    <x v="1"/>
    <n v="181479.97"/>
    <x v="2"/>
  </r>
  <r>
    <x v="26"/>
    <x v="0"/>
    <n v="40.15"/>
    <x v="0"/>
    <x v="1"/>
    <x v="1"/>
    <x v="257"/>
    <n v="139.69999999999999"/>
    <x v="3"/>
    <b v="0"/>
    <x v="2"/>
    <n v="42297.7"/>
    <x v="1"/>
  </r>
  <r>
    <x v="44"/>
    <x v="1"/>
    <n v="24.414999999999999"/>
    <x v="5"/>
    <x v="1"/>
    <x v="2"/>
    <x v="258"/>
    <n v="122.7"/>
    <x v="3"/>
    <b v="1"/>
    <x v="0"/>
    <n v="135327.06"/>
    <x v="2"/>
  </r>
  <r>
    <x v="0"/>
    <x v="1"/>
    <n v="31.92"/>
    <x v="0"/>
    <x v="0"/>
    <x v="2"/>
    <x v="259"/>
    <n v="112.7"/>
    <x v="1"/>
    <b v="1"/>
    <x v="1"/>
    <n v="41253.620000000003"/>
    <x v="0"/>
  </r>
  <r>
    <x v="31"/>
    <x v="0"/>
    <n v="25.2"/>
    <x v="0"/>
    <x v="1"/>
    <x v="0"/>
    <x v="260"/>
    <n v="122.5"/>
    <x v="2"/>
    <b v="0"/>
    <x v="0"/>
    <n v="69301.91"/>
    <x v="2"/>
  </r>
  <r>
    <x v="35"/>
    <x v="0"/>
    <n v="26.84"/>
    <x v="1"/>
    <x v="0"/>
    <x v="1"/>
    <x v="261"/>
    <n v="112.7"/>
    <x v="3"/>
    <b v="0"/>
    <x v="1"/>
    <n v="163908.92000000001"/>
    <x v="0"/>
  </r>
  <r>
    <x v="14"/>
    <x v="1"/>
    <n v="24.32"/>
    <x v="2"/>
    <x v="0"/>
    <x v="3"/>
    <x v="262"/>
    <n v="120.6"/>
    <x v="1"/>
    <b v="0"/>
    <x v="1"/>
    <n v="119062.18"/>
    <x v="2"/>
  </r>
  <r>
    <x v="0"/>
    <x v="1"/>
    <n v="36.954999999999998"/>
    <x v="0"/>
    <x v="0"/>
    <x v="2"/>
    <x v="263"/>
    <n v="125.7"/>
    <x v="1"/>
    <b v="1"/>
    <x v="1"/>
    <n v="140935.13"/>
    <x v="0"/>
  </r>
  <r>
    <x v="32"/>
    <x v="0"/>
    <n v="38.06"/>
    <x v="2"/>
    <x v="1"/>
    <x v="1"/>
    <x v="264"/>
    <n v="139.1"/>
    <x v="0"/>
    <b v="0"/>
    <x v="1"/>
    <n v="85272.62"/>
    <x v="2"/>
  </r>
  <r>
    <x v="6"/>
    <x v="1"/>
    <n v="42.35"/>
    <x v="2"/>
    <x v="0"/>
    <x v="1"/>
    <x v="265"/>
    <n v="129.6"/>
    <x v="0"/>
    <b v="1"/>
    <x v="2"/>
    <n v="50746.6"/>
    <x v="1"/>
  </r>
  <r>
    <x v="30"/>
    <x v="1"/>
    <n v="19.8"/>
    <x v="1"/>
    <x v="0"/>
    <x v="1"/>
    <x v="266"/>
    <n v="133.69999999999999"/>
    <x v="3"/>
    <b v="0"/>
    <x v="1"/>
    <n v="41854.53"/>
    <x v="1"/>
  </r>
  <r>
    <x v="18"/>
    <x v="0"/>
    <n v="32.395000000000003"/>
    <x v="2"/>
    <x v="1"/>
    <x v="3"/>
    <x v="267"/>
    <n v="121.3"/>
    <x v="3"/>
    <b v="0"/>
    <x v="0"/>
    <n v="36855.08"/>
    <x v="2"/>
  </r>
  <r>
    <x v="40"/>
    <x v="1"/>
    <n v="30.2"/>
    <x v="1"/>
    <x v="1"/>
    <x v="0"/>
    <x v="268"/>
    <n v="123.1"/>
    <x v="0"/>
    <b v="0"/>
    <x v="2"/>
    <n v="189214.26"/>
    <x v="1"/>
  </r>
  <r>
    <x v="42"/>
    <x v="1"/>
    <n v="25.84"/>
    <x v="1"/>
    <x v="1"/>
    <x v="3"/>
    <x v="269"/>
    <n v="120.9"/>
    <x v="2"/>
    <b v="0"/>
    <x v="2"/>
    <n v="193027.92"/>
    <x v="1"/>
  </r>
  <r>
    <x v="1"/>
    <x v="1"/>
    <n v="29.37"/>
    <x v="1"/>
    <x v="1"/>
    <x v="1"/>
    <x v="270"/>
    <n v="129.4"/>
    <x v="2"/>
    <b v="0"/>
    <x v="1"/>
    <n v="47443.13"/>
    <x v="0"/>
  </r>
  <r>
    <x v="46"/>
    <x v="1"/>
    <n v="34.200000000000003"/>
    <x v="3"/>
    <x v="0"/>
    <x v="0"/>
    <x v="271"/>
    <n v="110.7"/>
    <x v="2"/>
    <b v="0"/>
    <x v="1"/>
    <n v="90642.61"/>
    <x v="1"/>
  </r>
  <r>
    <x v="25"/>
    <x v="1"/>
    <n v="37.049999999999997"/>
    <x v="3"/>
    <x v="1"/>
    <x v="2"/>
    <x v="272"/>
    <n v="140"/>
    <x v="2"/>
    <b v="0"/>
    <x v="1"/>
    <n v="52201.82"/>
    <x v="1"/>
  </r>
  <r>
    <x v="46"/>
    <x v="1"/>
    <n v="27.454999999999998"/>
    <x v="1"/>
    <x v="1"/>
    <x v="3"/>
    <x v="273"/>
    <n v="136"/>
    <x v="3"/>
    <b v="1"/>
    <x v="2"/>
    <n v="76584.710000000006"/>
    <x v="1"/>
  </r>
  <r>
    <x v="9"/>
    <x v="1"/>
    <n v="27.55"/>
    <x v="0"/>
    <x v="1"/>
    <x v="2"/>
    <x v="274"/>
    <n v="138.1"/>
    <x v="0"/>
    <b v="1"/>
    <x v="1"/>
    <n v="36212.839999999997"/>
    <x v="0"/>
  </r>
  <r>
    <x v="43"/>
    <x v="0"/>
    <n v="26.6"/>
    <x v="3"/>
    <x v="1"/>
    <x v="3"/>
    <x v="275"/>
    <n v="120.9"/>
    <x v="1"/>
    <b v="0"/>
    <x v="0"/>
    <n v="69052.149999999994"/>
    <x v="1"/>
  </r>
  <r>
    <x v="0"/>
    <x v="1"/>
    <n v="20.614999999999998"/>
    <x v="3"/>
    <x v="1"/>
    <x v="2"/>
    <x v="276"/>
    <n v="129.19999999999999"/>
    <x v="1"/>
    <b v="1"/>
    <x v="2"/>
    <n v="64136.71"/>
    <x v="0"/>
  </r>
  <r>
    <x v="21"/>
    <x v="0"/>
    <n v="24.3"/>
    <x v="0"/>
    <x v="1"/>
    <x v="0"/>
    <x v="277"/>
    <n v="125.1"/>
    <x v="0"/>
    <b v="1"/>
    <x v="2"/>
    <n v="122390.73"/>
    <x v="0"/>
  </r>
  <r>
    <x v="18"/>
    <x v="1"/>
    <n v="31.79"/>
    <x v="3"/>
    <x v="1"/>
    <x v="1"/>
    <x v="278"/>
    <n v="139.30000000000001"/>
    <x v="1"/>
    <b v="1"/>
    <x v="0"/>
    <n v="155603.72"/>
    <x v="2"/>
  </r>
  <r>
    <x v="44"/>
    <x v="0"/>
    <n v="21.56"/>
    <x v="1"/>
    <x v="1"/>
    <x v="1"/>
    <x v="279"/>
    <n v="139.6"/>
    <x v="3"/>
    <b v="1"/>
    <x v="0"/>
    <n v="66777.41"/>
    <x v="2"/>
  </r>
  <r>
    <x v="30"/>
    <x v="0"/>
    <n v="28.12"/>
    <x v="1"/>
    <x v="0"/>
    <x v="3"/>
    <x v="280"/>
    <n v="123.5"/>
    <x v="3"/>
    <b v="0"/>
    <x v="0"/>
    <n v="189841.82"/>
    <x v="1"/>
  </r>
  <r>
    <x v="41"/>
    <x v="1"/>
    <n v="40.564999999999998"/>
    <x v="2"/>
    <x v="0"/>
    <x v="3"/>
    <x v="281"/>
    <n v="136.5"/>
    <x v="2"/>
    <b v="0"/>
    <x v="1"/>
    <n v="150958.56"/>
    <x v="2"/>
  </r>
  <r>
    <x v="16"/>
    <x v="1"/>
    <n v="27.645"/>
    <x v="1"/>
    <x v="1"/>
    <x v="3"/>
    <x v="282"/>
    <n v="117.9"/>
    <x v="2"/>
    <b v="1"/>
    <x v="1"/>
    <n v="146969.60000000001"/>
    <x v="1"/>
  </r>
  <r>
    <x v="20"/>
    <x v="0"/>
    <n v="32.395000000000003"/>
    <x v="1"/>
    <x v="1"/>
    <x v="3"/>
    <x v="283"/>
    <n v="137.30000000000001"/>
    <x v="1"/>
    <b v="0"/>
    <x v="2"/>
    <n v="104461.41"/>
    <x v="2"/>
  </r>
  <r>
    <x v="14"/>
    <x v="0"/>
    <n v="31.2"/>
    <x v="0"/>
    <x v="1"/>
    <x v="0"/>
    <x v="284"/>
    <n v="111.4"/>
    <x v="3"/>
    <b v="0"/>
    <x v="2"/>
    <n v="127500.48"/>
    <x v="2"/>
  </r>
  <r>
    <x v="6"/>
    <x v="1"/>
    <n v="26.62"/>
    <x v="1"/>
    <x v="1"/>
    <x v="1"/>
    <x v="285"/>
    <n v="113.6"/>
    <x v="1"/>
    <b v="0"/>
    <x v="1"/>
    <n v="60235.39"/>
    <x v="1"/>
  </r>
  <r>
    <x v="6"/>
    <x v="0"/>
    <n v="48.07"/>
    <x v="3"/>
    <x v="1"/>
    <x v="3"/>
    <x v="286"/>
    <n v="135.5"/>
    <x v="3"/>
    <b v="0"/>
    <x v="2"/>
    <n v="132272.91"/>
    <x v="1"/>
  </r>
  <r>
    <x v="19"/>
    <x v="0"/>
    <n v="26.22"/>
    <x v="0"/>
    <x v="1"/>
    <x v="2"/>
    <x v="287"/>
    <n v="137.30000000000001"/>
    <x v="3"/>
    <b v="0"/>
    <x v="1"/>
    <n v="35056.21"/>
    <x v="2"/>
  </r>
  <r>
    <x v="18"/>
    <x v="0"/>
    <n v="36.765000000000001"/>
    <x v="1"/>
    <x v="0"/>
    <x v="3"/>
    <x v="288"/>
    <n v="136.69999999999999"/>
    <x v="0"/>
    <b v="0"/>
    <x v="1"/>
    <n v="58321.09"/>
    <x v="2"/>
  </r>
  <r>
    <x v="14"/>
    <x v="1"/>
    <n v="26.4"/>
    <x v="2"/>
    <x v="1"/>
    <x v="1"/>
    <x v="289"/>
    <n v="120.5"/>
    <x v="3"/>
    <b v="1"/>
    <x v="0"/>
    <n v="156218.79999999999"/>
    <x v="2"/>
  </r>
  <r>
    <x v="2"/>
    <x v="0"/>
    <n v="33.4"/>
    <x v="0"/>
    <x v="1"/>
    <x v="0"/>
    <x v="290"/>
    <n v="133.9"/>
    <x v="1"/>
    <b v="1"/>
    <x v="1"/>
    <n v="51796.49"/>
    <x v="0"/>
  </r>
  <r>
    <x v="39"/>
    <x v="1"/>
    <n v="29.64"/>
    <x v="1"/>
    <x v="1"/>
    <x v="3"/>
    <x v="291"/>
    <n v="132.69999999999999"/>
    <x v="2"/>
    <b v="0"/>
    <x v="1"/>
    <n v="47550.239999999998"/>
    <x v="0"/>
  </r>
  <r>
    <x v="9"/>
    <x v="1"/>
    <n v="45.54"/>
    <x v="3"/>
    <x v="0"/>
    <x v="1"/>
    <x v="292"/>
    <n v="135.80000000000001"/>
    <x v="0"/>
    <b v="0"/>
    <x v="0"/>
    <n v="56456.72"/>
    <x v="0"/>
  </r>
  <r>
    <x v="21"/>
    <x v="0"/>
    <n v="28.82"/>
    <x v="0"/>
    <x v="1"/>
    <x v="1"/>
    <x v="293"/>
    <n v="136.19999999999999"/>
    <x v="2"/>
    <b v="0"/>
    <x v="1"/>
    <n v="145656.42000000001"/>
    <x v="0"/>
  </r>
  <r>
    <x v="9"/>
    <x v="1"/>
    <n v="26.8"/>
    <x v="2"/>
    <x v="1"/>
    <x v="0"/>
    <x v="294"/>
    <n v="124.7"/>
    <x v="1"/>
    <b v="0"/>
    <x v="1"/>
    <n v="143794.22"/>
    <x v="0"/>
  </r>
  <r>
    <x v="1"/>
    <x v="1"/>
    <n v="22.99"/>
    <x v="0"/>
    <x v="1"/>
    <x v="3"/>
    <x v="295"/>
    <n v="139.30000000000001"/>
    <x v="3"/>
    <b v="1"/>
    <x v="2"/>
    <n v="95176.27"/>
    <x v="0"/>
  </r>
  <r>
    <x v="0"/>
    <x v="1"/>
    <n v="27.7"/>
    <x v="0"/>
    <x v="0"/>
    <x v="0"/>
    <x v="296"/>
    <n v="132.5"/>
    <x v="3"/>
    <b v="1"/>
    <x v="2"/>
    <n v="47411.26"/>
    <x v="0"/>
  </r>
  <r>
    <x v="43"/>
    <x v="1"/>
    <n v="25.41"/>
    <x v="1"/>
    <x v="0"/>
    <x v="1"/>
    <x v="297"/>
    <n v="110.5"/>
    <x v="1"/>
    <b v="0"/>
    <x v="2"/>
    <n v="105149.9"/>
    <x v="1"/>
  </r>
  <r>
    <x v="5"/>
    <x v="1"/>
    <n v="34.39"/>
    <x v="2"/>
    <x v="0"/>
    <x v="2"/>
    <x v="298"/>
    <n v="135.1"/>
    <x v="1"/>
    <b v="0"/>
    <x v="2"/>
    <n v="164341.10999999999"/>
    <x v="1"/>
  </r>
  <r>
    <x v="29"/>
    <x v="0"/>
    <n v="28.88"/>
    <x v="1"/>
    <x v="1"/>
    <x v="2"/>
    <x v="299"/>
    <n v="118"/>
    <x v="3"/>
    <b v="1"/>
    <x v="0"/>
    <n v="111094.84"/>
    <x v="1"/>
  </r>
  <r>
    <x v="27"/>
    <x v="1"/>
    <n v="27.55"/>
    <x v="2"/>
    <x v="1"/>
    <x v="3"/>
    <x v="300"/>
    <n v="126.9"/>
    <x v="2"/>
    <b v="1"/>
    <x v="1"/>
    <n v="115663.07"/>
    <x v="1"/>
  </r>
  <r>
    <x v="32"/>
    <x v="0"/>
    <n v="22.61"/>
    <x v="2"/>
    <x v="0"/>
    <x v="3"/>
    <x v="301"/>
    <n v="123.1"/>
    <x v="1"/>
    <b v="1"/>
    <x v="2"/>
    <n v="66270.84"/>
    <x v="2"/>
  </r>
  <r>
    <x v="12"/>
    <x v="0"/>
    <n v="37.51"/>
    <x v="3"/>
    <x v="1"/>
    <x v="1"/>
    <x v="302"/>
    <n v="130.69999999999999"/>
    <x v="1"/>
    <b v="0"/>
    <x v="0"/>
    <n v="150982.49"/>
    <x v="2"/>
  </r>
  <r>
    <x v="2"/>
    <x v="0"/>
    <n v="33"/>
    <x v="3"/>
    <x v="1"/>
    <x v="1"/>
    <x v="303"/>
    <n v="126.9"/>
    <x v="0"/>
    <b v="1"/>
    <x v="2"/>
    <n v="187786.17"/>
    <x v="0"/>
  </r>
  <r>
    <x v="38"/>
    <x v="0"/>
    <n v="38"/>
    <x v="3"/>
    <x v="1"/>
    <x v="0"/>
    <x v="304"/>
    <n v="139.4"/>
    <x v="0"/>
    <b v="0"/>
    <x v="2"/>
    <n v="185399.37"/>
    <x v="2"/>
  </r>
  <r>
    <x v="39"/>
    <x v="1"/>
    <n v="33.344999999999999"/>
    <x v="3"/>
    <x v="1"/>
    <x v="2"/>
    <x v="305"/>
    <n v="135.4"/>
    <x v="3"/>
    <b v="1"/>
    <x v="1"/>
    <n v="153155.17000000001"/>
    <x v="0"/>
  </r>
  <r>
    <x v="2"/>
    <x v="0"/>
    <n v="27.5"/>
    <x v="3"/>
    <x v="1"/>
    <x v="0"/>
    <x v="306"/>
    <n v="129.69999999999999"/>
    <x v="3"/>
    <b v="1"/>
    <x v="2"/>
    <n v="118757.2"/>
    <x v="0"/>
  </r>
  <r>
    <x v="16"/>
    <x v="0"/>
    <n v="33.33"/>
    <x v="1"/>
    <x v="1"/>
    <x v="1"/>
    <x v="307"/>
    <n v="118.5"/>
    <x v="2"/>
    <b v="0"/>
    <x v="2"/>
    <n v="117215.97"/>
    <x v="1"/>
  </r>
  <r>
    <x v="31"/>
    <x v="1"/>
    <n v="34.865000000000002"/>
    <x v="0"/>
    <x v="1"/>
    <x v="3"/>
    <x v="308"/>
    <n v="128.69999999999999"/>
    <x v="2"/>
    <b v="1"/>
    <x v="0"/>
    <n v="138781.12"/>
    <x v="2"/>
  </r>
  <r>
    <x v="25"/>
    <x v="0"/>
    <n v="33.06"/>
    <x v="3"/>
    <x v="1"/>
    <x v="2"/>
    <x v="309"/>
    <n v="132.4"/>
    <x v="2"/>
    <b v="0"/>
    <x v="1"/>
    <n v="162654.70000000001"/>
    <x v="1"/>
  </r>
  <r>
    <x v="46"/>
    <x v="1"/>
    <n v="26.6"/>
    <x v="0"/>
    <x v="1"/>
    <x v="0"/>
    <x v="310"/>
    <n v="139.19999999999999"/>
    <x v="0"/>
    <b v="0"/>
    <x v="2"/>
    <n v="183531.18"/>
    <x v="1"/>
  </r>
  <r>
    <x v="0"/>
    <x v="0"/>
    <n v="24.7"/>
    <x v="0"/>
    <x v="1"/>
    <x v="0"/>
    <x v="311"/>
    <n v="130.6"/>
    <x v="1"/>
    <b v="1"/>
    <x v="0"/>
    <n v="122217.04"/>
    <x v="0"/>
  </r>
  <r>
    <x v="33"/>
    <x v="1"/>
    <n v="35.97"/>
    <x v="2"/>
    <x v="0"/>
    <x v="1"/>
    <x v="312"/>
    <n v="114.4"/>
    <x v="0"/>
    <b v="0"/>
    <x v="1"/>
    <n v="75623.08"/>
    <x v="1"/>
  </r>
  <r>
    <x v="42"/>
    <x v="1"/>
    <n v="35.86"/>
    <x v="0"/>
    <x v="1"/>
    <x v="1"/>
    <x v="313"/>
    <n v="124.6"/>
    <x v="1"/>
    <b v="0"/>
    <x v="2"/>
    <n v="141731.88"/>
    <x v="1"/>
  </r>
  <r>
    <x v="13"/>
    <x v="0"/>
    <n v="31.4"/>
    <x v="0"/>
    <x v="0"/>
    <x v="0"/>
    <x v="314"/>
    <n v="139.5"/>
    <x v="3"/>
    <b v="0"/>
    <x v="0"/>
    <n v="100383.19"/>
    <x v="0"/>
  </r>
  <r>
    <x v="14"/>
    <x v="1"/>
    <n v="33.25"/>
    <x v="0"/>
    <x v="1"/>
    <x v="3"/>
    <x v="315"/>
    <n v="130.80000000000001"/>
    <x v="3"/>
    <b v="1"/>
    <x v="1"/>
    <n v="52737.96"/>
    <x v="2"/>
  </r>
  <r>
    <x v="46"/>
    <x v="1"/>
    <n v="32.204999999999998"/>
    <x v="0"/>
    <x v="1"/>
    <x v="2"/>
    <x v="316"/>
    <n v="136.1"/>
    <x v="3"/>
    <b v="0"/>
    <x v="2"/>
    <n v="137430.49"/>
    <x v="1"/>
  </r>
  <r>
    <x v="41"/>
    <x v="1"/>
    <n v="32.774999999999999"/>
    <x v="0"/>
    <x v="1"/>
    <x v="3"/>
    <x v="317"/>
    <n v="110.3"/>
    <x v="1"/>
    <b v="1"/>
    <x v="0"/>
    <n v="147893.01"/>
    <x v="2"/>
  </r>
  <r>
    <x v="37"/>
    <x v="0"/>
    <n v="27.645"/>
    <x v="0"/>
    <x v="1"/>
    <x v="2"/>
    <x v="318"/>
    <n v="135.30000000000001"/>
    <x v="1"/>
    <b v="1"/>
    <x v="1"/>
    <n v="167209.06"/>
    <x v="1"/>
  </r>
  <r>
    <x v="4"/>
    <x v="1"/>
    <n v="37.335000000000001"/>
    <x v="1"/>
    <x v="1"/>
    <x v="3"/>
    <x v="319"/>
    <n v="111.1"/>
    <x v="1"/>
    <b v="0"/>
    <x v="1"/>
    <n v="113999.9"/>
    <x v="1"/>
  </r>
  <r>
    <x v="17"/>
    <x v="1"/>
    <n v="25.27"/>
    <x v="1"/>
    <x v="1"/>
    <x v="2"/>
    <x v="320"/>
    <n v="131.5"/>
    <x v="1"/>
    <b v="1"/>
    <x v="2"/>
    <n v="71094.92"/>
    <x v="1"/>
  </r>
  <r>
    <x v="22"/>
    <x v="0"/>
    <n v="29.64"/>
    <x v="5"/>
    <x v="1"/>
    <x v="3"/>
    <x v="321"/>
    <n v="138.30000000000001"/>
    <x v="1"/>
    <b v="1"/>
    <x v="2"/>
    <n v="142806.37"/>
    <x v="0"/>
  </r>
  <r>
    <x v="17"/>
    <x v="1"/>
    <n v="30.8"/>
    <x v="0"/>
    <x v="0"/>
    <x v="0"/>
    <x v="322"/>
    <n v="118.5"/>
    <x v="1"/>
    <b v="1"/>
    <x v="0"/>
    <n v="180991.88"/>
    <x v="1"/>
  </r>
  <r>
    <x v="38"/>
    <x v="1"/>
    <n v="40.945"/>
    <x v="0"/>
    <x v="1"/>
    <x v="3"/>
    <x v="323"/>
    <n v="119.2"/>
    <x v="2"/>
    <b v="1"/>
    <x v="2"/>
    <n v="56004.24"/>
    <x v="2"/>
  </r>
  <r>
    <x v="39"/>
    <x v="1"/>
    <n v="27.2"/>
    <x v="0"/>
    <x v="1"/>
    <x v="0"/>
    <x v="324"/>
    <n v="128.69999999999999"/>
    <x v="0"/>
    <b v="1"/>
    <x v="0"/>
    <n v="177437.83"/>
    <x v="0"/>
  </r>
  <r>
    <x v="30"/>
    <x v="1"/>
    <n v="34.104999999999997"/>
    <x v="1"/>
    <x v="1"/>
    <x v="3"/>
    <x v="325"/>
    <n v="135.69999999999999"/>
    <x v="0"/>
    <b v="1"/>
    <x v="2"/>
    <n v="133307.46"/>
    <x v="1"/>
  </r>
  <r>
    <x v="13"/>
    <x v="0"/>
    <n v="23.21"/>
    <x v="1"/>
    <x v="1"/>
    <x v="1"/>
    <x v="326"/>
    <n v="116.8"/>
    <x v="1"/>
    <b v="1"/>
    <x v="2"/>
    <n v="91810.23"/>
    <x v="0"/>
  </r>
  <r>
    <x v="40"/>
    <x v="1"/>
    <n v="36.479999999999997"/>
    <x v="3"/>
    <x v="0"/>
    <x v="2"/>
    <x v="327"/>
    <n v="122.9"/>
    <x v="0"/>
    <b v="0"/>
    <x v="0"/>
    <n v="143466.38"/>
    <x v="1"/>
  </r>
  <r>
    <x v="34"/>
    <x v="0"/>
    <n v="33.799999999999997"/>
    <x v="1"/>
    <x v="0"/>
    <x v="0"/>
    <x v="328"/>
    <n v="117.5"/>
    <x v="0"/>
    <b v="1"/>
    <x v="0"/>
    <n v="160049.93"/>
    <x v="2"/>
  </r>
  <r>
    <x v="14"/>
    <x v="1"/>
    <n v="36.700000000000003"/>
    <x v="0"/>
    <x v="1"/>
    <x v="0"/>
    <x v="329"/>
    <n v="125.1"/>
    <x v="3"/>
    <b v="0"/>
    <x v="0"/>
    <n v="73847.16"/>
    <x v="2"/>
  </r>
  <r>
    <x v="36"/>
    <x v="0"/>
    <n v="36.384999999999998"/>
    <x v="1"/>
    <x v="0"/>
    <x v="3"/>
    <x v="330"/>
    <n v="113.6"/>
    <x v="1"/>
    <b v="1"/>
    <x v="2"/>
    <n v="41152.74"/>
    <x v="2"/>
  </r>
  <r>
    <x v="14"/>
    <x v="1"/>
    <n v="27.36"/>
    <x v="0"/>
    <x v="0"/>
    <x v="2"/>
    <x v="331"/>
    <n v="128.6"/>
    <x v="2"/>
    <b v="1"/>
    <x v="1"/>
    <n v="126965.74"/>
    <x v="2"/>
  </r>
  <r>
    <x v="36"/>
    <x v="0"/>
    <n v="31.16"/>
    <x v="0"/>
    <x v="1"/>
    <x v="2"/>
    <x v="332"/>
    <n v="118.7"/>
    <x v="2"/>
    <b v="1"/>
    <x v="1"/>
    <n v="186409.96"/>
    <x v="2"/>
  </r>
  <r>
    <x v="12"/>
    <x v="0"/>
    <n v="28.785"/>
    <x v="0"/>
    <x v="1"/>
    <x v="3"/>
    <x v="333"/>
    <n v="130.5"/>
    <x v="0"/>
    <b v="0"/>
    <x v="1"/>
    <n v="164487.21"/>
    <x v="2"/>
  </r>
  <r>
    <x v="33"/>
    <x v="0"/>
    <n v="35.72"/>
    <x v="3"/>
    <x v="1"/>
    <x v="3"/>
    <x v="334"/>
    <n v="135"/>
    <x v="0"/>
    <b v="0"/>
    <x v="0"/>
    <n v="185847.25"/>
    <x v="1"/>
  </r>
  <r>
    <x v="34"/>
    <x v="1"/>
    <n v="34.5"/>
    <x v="0"/>
    <x v="1"/>
    <x v="0"/>
    <x v="335"/>
    <n v="129.4"/>
    <x v="2"/>
    <b v="1"/>
    <x v="1"/>
    <n v="51450.5"/>
    <x v="2"/>
  </r>
  <r>
    <x v="8"/>
    <x v="1"/>
    <n v="25.74"/>
    <x v="0"/>
    <x v="1"/>
    <x v="1"/>
    <x v="336"/>
    <n v="128.69999999999999"/>
    <x v="0"/>
    <b v="1"/>
    <x v="0"/>
    <n v="67995.06"/>
    <x v="2"/>
  </r>
  <r>
    <x v="10"/>
    <x v="1"/>
    <n v="27.55"/>
    <x v="1"/>
    <x v="1"/>
    <x v="2"/>
    <x v="337"/>
    <n v="122.6"/>
    <x v="1"/>
    <b v="1"/>
    <x v="0"/>
    <n v="52462.03"/>
    <x v="2"/>
  </r>
  <r>
    <x v="46"/>
    <x v="1"/>
    <n v="32.299999999999997"/>
    <x v="1"/>
    <x v="0"/>
    <x v="3"/>
    <x v="338"/>
    <n v="137.1"/>
    <x v="3"/>
    <b v="0"/>
    <x v="1"/>
    <n v="34089.75"/>
    <x v="1"/>
  </r>
  <r>
    <x v="6"/>
    <x v="0"/>
    <n v="27.72"/>
    <x v="1"/>
    <x v="1"/>
    <x v="1"/>
    <x v="339"/>
    <n v="119.8"/>
    <x v="2"/>
    <b v="1"/>
    <x v="2"/>
    <n v="137025.29999999999"/>
    <x v="1"/>
  </r>
  <r>
    <x v="24"/>
    <x v="0"/>
    <n v="27.6"/>
    <x v="0"/>
    <x v="1"/>
    <x v="0"/>
    <x v="340"/>
    <n v="126.3"/>
    <x v="2"/>
    <b v="1"/>
    <x v="0"/>
    <n v="172199.78"/>
    <x v="0"/>
  </r>
  <r>
    <x v="10"/>
    <x v="1"/>
    <n v="30.02"/>
    <x v="0"/>
    <x v="1"/>
    <x v="2"/>
    <x v="341"/>
    <n v="115.8"/>
    <x v="1"/>
    <b v="1"/>
    <x v="0"/>
    <n v="72588.02"/>
    <x v="2"/>
  </r>
  <r>
    <x v="8"/>
    <x v="0"/>
    <n v="27.55"/>
    <x v="0"/>
    <x v="1"/>
    <x v="3"/>
    <x v="342"/>
    <n v="110.3"/>
    <x v="1"/>
    <b v="0"/>
    <x v="0"/>
    <n v="166889.03"/>
    <x v="2"/>
  </r>
  <r>
    <x v="19"/>
    <x v="1"/>
    <n v="36.765000000000001"/>
    <x v="0"/>
    <x v="1"/>
    <x v="3"/>
    <x v="343"/>
    <n v="138.4"/>
    <x v="1"/>
    <b v="1"/>
    <x v="0"/>
    <n v="181326.29"/>
    <x v="2"/>
  </r>
  <r>
    <x v="42"/>
    <x v="0"/>
    <n v="41.47"/>
    <x v="5"/>
    <x v="1"/>
    <x v="1"/>
    <x v="344"/>
    <n v="127"/>
    <x v="3"/>
    <b v="1"/>
    <x v="0"/>
    <n v="85187.67"/>
    <x v="1"/>
  </r>
  <r>
    <x v="17"/>
    <x v="0"/>
    <n v="29.26"/>
    <x v="2"/>
    <x v="1"/>
    <x v="1"/>
    <x v="345"/>
    <n v="119.2"/>
    <x v="2"/>
    <b v="0"/>
    <x v="1"/>
    <n v="180182.58"/>
    <x v="1"/>
  </r>
  <r>
    <x v="3"/>
    <x v="1"/>
    <n v="35.75"/>
    <x v="3"/>
    <x v="1"/>
    <x v="1"/>
    <x v="346"/>
    <n v="139.19999999999999"/>
    <x v="2"/>
    <b v="1"/>
    <x v="0"/>
    <n v="179766.17"/>
    <x v="1"/>
  </r>
  <r>
    <x v="6"/>
    <x v="1"/>
    <n v="33.344999999999999"/>
    <x v="1"/>
    <x v="1"/>
    <x v="3"/>
    <x v="347"/>
    <n v="111.2"/>
    <x v="1"/>
    <b v="1"/>
    <x v="1"/>
    <n v="87223.6"/>
    <x v="1"/>
  </r>
  <r>
    <x v="27"/>
    <x v="0"/>
    <n v="29.92"/>
    <x v="1"/>
    <x v="1"/>
    <x v="1"/>
    <x v="348"/>
    <n v="125.2"/>
    <x v="3"/>
    <b v="0"/>
    <x v="1"/>
    <n v="178209.54"/>
    <x v="1"/>
  </r>
  <r>
    <x v="0"/>
    <x v="1"/>
    <n v="27.835000000000001"/>
    <x v="0"/>
    <x v="1"/>
    <x v="2"/>
    <x v="349"/>
    <n v="123.5"/>
    <x v="2"/>
    <b v="0"/>
    <x v="1"/>
    <n v="187379.64"/>
    <x v="0"/>
  </r>
  <r>
    <x v="38"/>
    <x v="0"/>
    <n v="23.18"/>
    <x v="0"/>
    <x v="1"/>
    <x v="2"/>
    <x v="350"/>
    <n v="122"/>
    <x v="0"/>
    <b v="0"/>
    <x v="0"/>
    <n v="65123.87"/>
    <x v="2"/>
  </r>
  <r>
    <x v="46"/>
    <x v="0"/>
    <n v="25.6"/>
    <x v="0"/>
    <x v="1"/>
    <x v="0"/>
    <x v="351"/>
    <n v="118.4"/>
    <x v="0"/>
    <b v="1"/>
    <x v="2"/>
    <n v="127478.64"/>
    <x v="1"/>
  </r>
  <r>
    <x v="16"/>
    <x v="0"/>
    <n v="27.7"/>
    <x v="0"/>
    <x v="1"/>
    <x v="0"/>
    <x v="352"/>
    <n v="131.30000000000001"/>
    <x v="2"/>
    <b v="0"/>
    <x v="0"/>
    <n v="177481.73"/>
    <x v="1"/>
  </r>
  <r>
    <x v="3"/>
    <x v="1"/>
    <n v="35.244999999999997"/>
    <x v="0"/>
    <x v="1"/>
    <x v="3"/>
    <x v="353"/>
    <n v="129.4"/>
    <x v="3"/>
    <b v="1"/>
    <x v="1"/>
    <n v="87310.66"/>
    <x v="1"/>
  </r>
  <r>
    <x v="1"/>
    <x v="0"/>
    <n v="38.28"/>
    <x v="0"/>
    <x v="1"/>
    <x v="1"/>
    <x v="354"/>
    <n v="121.9"/>
    <x v="0"/>
    <b v="1"/>
    <x v="2"/>
    <n v="173137.32"/>
    <x v="0"/>
  </r>
  <r>
    <x v="6"/>
    <x v="1"/>
    <n v="27.6"/>
    <x v="0"/>
    <x v="1"/>
    <x v="0"/>
    <x v="355"/>
    <n v="135.19999999999999"/>
    <x v="0"/>
    <b v="1"/>
    <x v="1"/>
    <n v="173836.3"/>
    <x v="1"/>
  </r>
  <r>
    <x v="6"/>
    <x v="1"/>
    <n v="43.89"/>
    <x v="2"/>
    <x v="1"/>
    <x v="1"/>
    <x v="356"/>
    <n v="117.7"/>
    <x v="0"/>
    <b v="1"/>
    <x v="0"/>
    <n v="190987.7"/>
    <x v="1"/>
  </r>
  <r>
    <x v="43"/>
    <x v="1"/>
    <n v="29.83"/>
    <x v="2"/>
    <x v="1"/>
    <x v="2"/>
    <x v="357"/>
    <n v="128.9"/>
    <x v="0"/>
    <b v="0"/>
    <x v="2"/>
    <n v="72635.16"/>
    <x v="1"/>
  </r>
  <r>
    <x v="15"/>
    <x v="1"/>
    <n v="41.91"/>
    <x v="0"/>
    <x v="1"/>
    <x v="1"/>
    <x v="358"/>
    <n v="125"/>
    <x v="1"/>
    <b v="1"/>
    <x v="2"/>
    <n v="113527.71"/>
    <x v="0"/>
  </r>
  <r>
    <x v="1"/>
    <x v="0"/>
    <n v="20.79"/>
    <x v="0"/>
    <x v="1"/>
    <x v="1"/>
    <x v="359"/>
    <n v="116.9"/>
    <x v="2"/>
    <b v="0"/>
    <x v="2"/>
    <n v="38932.449999999997"/>
    <x v="0"/>
  </r>
  <r>
    <x v="29"/>
    <x v="0"/>
    <n v="32.299999999999997"/>
    <x v="3"/>
    <x v="1"/>
    <x v="3"/>
    <x v="360"/>
    <n v="115.2"/>
    <x v="0"/>
    <b v="1"/>
    <x v="0"/>
    <n v="188520.78"/>
    <x v="1"/>
  </r>
  <r>
    <x v="23"/>
    <x v="1"/>
    <n v="30.5"/>
    <x v="1"/>
    <x v="1"/>
    <x v="0"/>
    <x v="361"/>
    <n v="120.3"/>
    <x v="0"/>
    <b v="0"/>
    <x v="2"/>
    <n v="66054.009999999995"/>
    <x v="1"/>
  </r>
  <r>
    <x v="0"/>
    <x v="0"/>
    <n v="21.7"/>
    <x v="0"/>
    <x v="0"/>
    <x v="0"/>
    <x v="362"/>
    <n v="122.1"/>
    <x v="0"/>
    <b v="0"/>
    <x v="0"/>
    <n v="43842.68"/>
    <x v="0"/>
  </r>
  <r>
    <x v="28"/>
    <x v="0"/>
    <n v="26.4"/>
    <x v="1"/>
    <x v="1"/>
    <x v="0"/>
    <x v="363"/>
    <n v="114"/>
    <x v="3"/>
    <b v="1"/>
    <x v="2"/>
    <n v="176425.69"/>
    <x v="0"/>
  </r>
  <r>
    <x v="28"/>
    <x v="0"/>
    <n v="21.89"/>
    <x v="3"/>
    <x v="1"/>
    <x v="1"/>
    <x v="364"/>
    <n v="138"/>
    <x v="0"/>
    <b v="1"/>
    <x v="1"/>
    <n v="175654.58"/>
    <x v="0"/>
  </r>
  <r>
    <x v="42"/>
    <x v="0"/>
    <n v="30.78"/>
    <x v="1"/>
    <x v="1"/>
    <x v="3"/>
    <x v="365"/>
    <n v="133"/>
    <x v="0"/>
    <b v="1"/>
    <x v="1"/>
    <n v="90045.85"/>
    <x v="1"/>
  </r>
  <r>
    <x v="12"/>
    <x v="0"/>
    <n v="32.299999999999997"/>
    <x v="2"/>
    <x v="1"/>
    <x v="3"/>
    <x v="366"/>
    <n v="138.30000000000001"/>
    <x v="0"/>
    <b v="1"/>
    <x v="1"/>
    <n v="45532.14"/>
    <x v="2"/>
  </r>
  <r>
    <x v="45"/>
    <x v="0"/>
    <n v="24.984999999999999"/>
    <x v="3"/>
    <x v="1"/>
    <x v="2"/>
    <x v="367"/>
    <n v="131.69999999999999"/>
    <x v="0"/>
    <b v="0"/>
    <x v="1"/>
    <n v="182793.69"/>
    <x v="1"/>
  </r>
  <r>
    <x v="37"/>
    <x v="1"/>
    <n v="32.015000000000001"/>
    <x v="3"/>
    <x v="1"/>
    <x v="2"/>
    <x v="368"/>
    <n v="137.69999999999999"/>
    <x v="2"/>
    <b v="1"/>
    <x v="0"/>
    <n v="30387.439999999999"/>
    <x v="1"/>
  </r>
  <r>
    <x v="1"/>
    <x v="1"/>
    <n v="30.4"/>
    <x v="2"/>
    <x v="1"/>
    <x v="3"/>
    <x v="369"/>
    <n v="129.30000000000001"/>
    <x v="0"/>
    <b v="1"/>
    <x v="2"/>
    <n v="142076.99"/>
    <x v="0"/>
  </r>
  <r>
    <x v="36"/>
    <x v="0"/>
    <n v="21.09"/>
    <x v="0"/>
    <x v="1"/>
    <x v="2"/>
    <x v="370"/>
    <n v="125.4"/>
    <x v="2"/>
    <b v="0"/>
    <x v="2"/>
    <n v="128002.73"/>
    <x v="2"/>
  </r>
  <r>
    <x v="38"/>
    <x v="0"/>
    <n v="22.23"/>
    <x v="0"/>
    <x v="1"/>
    <x v="3"/>
    <x v="371"/>
    <n v="135.19999999999999"/>
    <x v="2"/>
    <b v="1"/>
    <x v="1"/>
    <n v="171079.41"/>
    <x v="2"/>
  </r>
  <r>
    <x v="45"/>
    <x v="0"/>
    <n v="33.155000000000001"/>
    <x v="1"/>
    <x v="1"/>
    <x v="3"/>
    <x v="372"/>
    <n v="134.4"/>
    <x v="3"/>
    <b v="1"/>
    <x v="0"/>
    <n v="159664.24"/>
    <x v="1"/>
  </r>
  <r>
    <x v="22"/>
    <x v="1"/>
    <n v="32.9"/>
    <x v="3"/>
    <x v="0"/>
    <x v="0"/>
    <x v="373"/>
    <n v="111"/>
    <x v="2"/>
    <b v="0"/>
    <x v="2"/>
    <n v="90786.02"/>
    <x v="0"/>
  </r>
  <r>
    <x v="35"/>
    <x v="1"/>
    <n v="33.33"/>
    <x v="0"/>
    <x v="1"/>
    <x v="1"/>
    <x v="374"/>
    <n v="120.9"/>
    <x v="3"/>
    <b v="0"/>
    <x v="1"/>
    <n v="188267.24"/>
    <x v="0"/>
  </r>
  <r>
    <x v="15"/>
    <x v="0"/>
    <n v="28.31"/>
    <x v="0"/>
    <x v="0"/>
    <x v="2"/>
    <x v="375"/>
    <n v="120.5"/>
    <x v="0"/>
    <b v="0"/>
    <x v="0"/>
    <n v="92753.77"/>
    <x v="0"/>
  </r>
  <r>
    <x v="11"/>
    <x v="0"/>
    <n v="24.89"/>
    <x v="2"/>
    <x v="0"/>
    <x v="3"/>
    <x v="376"/>
    <n v="118.9"/>
    <x v="3"/>
    <b v="1"/>
    <x v="1"/>
    <n v="110941.24"/>
    <x v="1"/>
  </r>
  <r>
    <x v="24"/>
    <x v="1"/>
    <n v="40.15"/>
    <x v="0"/>
    <x v="0"/>
    <x v="1"/>
    <x v="377"/>
    <n v="126.2"/>
    <x v="1"/>
    <b v="0"/>
    <x v="1"/>
    <n v="155784.13"/>
    <x v="0"/>
  </r>
  <r>
    <x v="34"/>
    <x v="0"/>
    <n v="30.114999999999998"/>
    <x v="2"/>
    <x v="1"/>
    <x v="2"/>
    <x v="378"/>
    <n v="112.2"/>
    <x v="1"/>
    <b v="0"/>
    <x v="2"/>
    <n v="196265.5"/>
    <x v="2"/>
  </r>
  <r>
    <x v="10"/>
    <x v="1"/>
    <n v="31.46"/>
    <x v="1"/>
    <x v="1"/>
    <x v="1"/>
    <x v="379"/>
    <n v="124.4"/>
    <x v="3"/>
    <b v="0"/>
    <x v="2"/>
    <n v="150994.71"/>
    <x v="2"/>
  </r>
  <r>
    <x v="13"/>
    <x v="0"/>
    <n v="17.954999999999998"/>
    <x v="3"/>
    <x v="0"/>
    <x v="3"/>
    <x v="380"/>
    <n v="122"/>
    <x v="3"/>
    <b v="1"/>
    <x v="1"/>
    <n v="108073.32"/>
    <x v="0"/>
  </r>
  <r>
    <x v="20"/>
    <x v="1"/>
    <n v="30.684999999999999"/>
    <x v="0"/>
    <x v="0"/>
    <x v="3"/>
    <x v="381"/>
    <n v="125.3"/>
    <x v="0"/>
    <b v="0"/>
    <x v="0"/>
    <n v="55631.06"/>
    <x v="2"/>
  </r>
  <r>
    <x v="20"/>
    <x v="1"/>
    <n v="33"/>
    <x v="0"/>
    <x v="1"/>
    <x v="1"/>
    <x v="382"/>
    <n v="120.5"/>
    <x v="1"/>
    <b v="0"/>
    <x v="1"/>
    <n v="65954.2"/>
    <x v="2"/>
  </r>
  <r>
    <x v="23"/>
    <x v="0"/>
    <n v="43.34"/>
    <x v="3"/>
    <x v="1"/>
    <x v="1"/>
    <x v="383"/>
    <n v="118.3"/>
    <x v="0"/>
    <b v="0"/>
    <x v="0"/>
    <n v="146268.01"/>
    <x v="1"/>
  </r>
  <r>
    <x v="37"/>
    <x v="1"/>
    <n v="22.135000000000002"/>
    <x v="3"/>
    <x v="1"/>
    <x v="3"/>
    <x v="384"/>
    <n v="110.5"/>
    <x v="1"/>
    <b v="0"/>
    <x v="2"/>
    <n v="118632.98"/>
    <x v="1"/>
  </r>
  <r>
    <x v="0"/>
    <x v="1"/>
    <n v="34.4"/>
    <x v="0"/>
    <x v="1"/>
    <x v="0"/>
    <x v="385"/>
    <n v="121.7"/>
    <x v="0"/>
    <b v="1"/>
    <x v="1"/>
    <n v="157461.24"/>
    <x v="0"/>
  </r>
  <r>
    <x v="31"/>
    <x v="0"/>
    <n v="39.049999999999997"/>
    <x v="0"/>
    <x v="1"/>
    <x v="1"/>
    <x v="386"/>
    <n v="129.19999999999999"/>
    <x v="1"/>
    <b v="0"/>
    <x v="1"/>
    <n v="131183.87"/>
    <x v="2"/>
  </r>
  <r>
    <x v="46"/>
    <x v="1"/>
    <n v="25.364999999999998"/>
    <x v="3"/>
    <x v="1"/>
    <x v="2"/>
    <x v="387"/>
    <n v="112.1"/>
    <x v="3"/>
    <b v="1"/>
    <x v="1"/>
    <n v="178010"/>
    <x v="1"/>
  </r>
  <r>
    <x v="22"/>
    <x v="0"/>
    <n v="22.61"/>
    <x v="0"/>
    <x v="1"/>
    <x v="2"/>
    <x v="388"/>
    <n v="125.5"/>
    <x v="1"/>
    <b v="1"/>
    <x v="2"/>
    <n v="82018.820000000007"/>
    <x v="0"/>
  </r>
  <r>
    <x v="24"/>
    <x v="0"/>
    <n v="30.21"/>
    <x v="2"/>
    <x v="1"/>
    <x v="2"/>
    <x v="389"/>
    <n v="130.19999999999999"/>
    <x v="1"/>
    <b v="0"/>
    <x v="0"/>
    <n v="94420.22"/>
    <x v="0"/>
  </r>
  <r>
    <x v="29"/>
    <x v="1"/>
    <n v="35.625"/>
    <x v="5"/>
    <x v="1"/>
    <x v="3"/>
    <x v="390"/>
    <n v="117.4"/>
    <x v="2"/>
    <b v="0"/>
    <x v="1"/>
    <n v="125886.95"/>
    <x v="1"/>
  </r>
  <r>
    <x v="0"/>
    <x v="0"/>
    <n v="37.43"/>
    <x v="0"/>
    <x v="1"/>
    <x v="2"/>
    <x v="391"/>
    <n v="116.6"/>
    <x v="0"/>
    <b v="0"/>
    <x v="0"/>
    <n v="162974.63"/>
    <x v="0"/>
  </r>
  <r>
    <x v="29"/>
    <x v="1"/>
    <n v="31.445"/>
    <x v="1"/>
    <x v="1"/>
    <x v="3"/>
    <x v="392"/>
    <n v="113"/>
    <x v="1"/>
    <b v="0"/>
    <x v="2"/>
    <n v="161681.9"/>
    <x v="1"/>
  </r>
  <r>
    <x v="42"/>
    <x v="1"/>
    <n v="31.35"/>
    <x v="1"/>
    <x v="1"/>
    <x v="3"/>
    <x v="393"/>
    <n v="130.1"/>
    <x v="1"/>
    <b v="1"/>
    <x v="1"/>
    <n v="84522.46"/>
    <x v="1"/>
  </r>
  <r>
    <x v="6"/>
    <x v="0"/>
    <n v="32.299999999999997"/>
    <x v="3"/>
    <x v="1"/>
    <x v="3"/>
    <x v="394"/>
    <n v="114.3"/>
    <x v="0"/>
    <b v="1"/>
    <x v="2"/>
    <n v="42732.17"/>
    <x v="1"/>
  </r>
  <r>
    <x v="6"/>
    <x v="1"/>
    <n v="19.855"/>
    <x v="0"/>
    <x v="1"/>
    <x v="2"/>
    <x v="395"/>
    <n v="122"/>
    <x v="3"/>
    <b v="0"/>
    <x v="0"/>
    <n v="83900.27"/>
    <x v="1"/>
  </r>
  <r>
    <x v="33"/>
    <x v="0"/>
    <n v="34.4"/>
    <x v="2"/>
    <x v="1"/>
    <x v="0"/>
    <x v="396"/>
    <n v="126.5"/>
    <x v="0"/>
    <b v="1"/>
    <x v="0"/>
    <n v="148377.49"/>
    <x v="1"/>
  </r>
  <r>
    <x v="28"/>
    <x v="1"/>
    <n v="31.02"/>
    <x v="0"/>
    <x v="1"/>
    <x v="1"/>
    <x v="397"/>
    <n v="129.69999999999999"/>
    <x v="2"/>
    <b v="1"/>
    <x v="0"/>
    <n v="185897.06"/>
    <x v="0"/>
  </r>
  <r>
    <x v="34"/>
    <x v="1"/>
    <n v="25.6"/>
    <x v="3"/>
    <x v="1"/>
    <x v="0"/>
    <x v="398"/>
    <n v="112.5"/>
    <x v="1"/>
    <b v="1"/>
    <x v="1"/>
    <n v="143377.79999999999"/>
    <x v="2"/>
  </r>
  <r>
    <x v="1"/>
    <x v="0"/>
    <n v="38.17"/>
    <x v="0"/>
    <x v="1"/>
    <x v="1"/>
    <x v="399"/>
    <n v="113.2"/>
    <x v="1"/>
    <b v="0"/>
    <x v="1"/>
    <n v="79007.039999999994"/>
    <x v="0"/>
  </r>
  <r>
    <x v="44"/>
    <x v="0"/>
    <n v="20.6"/>
    <x v="0"/>
    <x v="1"/>
    <x v="0"/>
    <x v="400"/>
    <n v="135.69999999999999"/>
    <x v="3"/>
    <b v="1"/>
    <x v="1"/>
    <n v="151369.98000000001"/>
    <x v="2"/>
  </r>
  <r>
    <x v="43"/>
    <x v="1"/>
    <n v="47.52"/>
    <x v="1"/>
    <x v="1"/>
    <x v="1"/>
    <x v="401"/>
    <n v="126.3"/>
    <x v="0"/>
    <b v="1"/>
    <x v="1"/>
    <n v="155044.74"/>
    <x v="1"/>
  </r>
  <r>
    <x v="34"/>
    <x v="0"/>
    <n v="32.965000000000003"/>
    <x v="0"/>
    <x v="1"/>
    <x v="2"/>
    <x v="402"/>
    <n v="117.3"/>
    <x v="3"/>
    <b v="0"/>
    <x v="0"/>
    <n v="158104.26999999999"/>
    <x v="2"/>
  </r>
  <r>
    <x v="42"/>
    <x v="1"/>
    <n v="32.299999999999997"/>
    <x v="2"/>
    <x v="1"/>
    <x v="2"/>
    <x v="403"/>
    <n v="131.80000000000001"/>
    <x v="1"/>
    <b v="1"/>
    <x v="0"/>
    <n v="194037.85"/>
    <x v="1"/>
  </r>
  <r>
    <x v="5"/>
    <x v="1"/>
    <n v="20.399999999999999"/>
    <x v="0"/>
    <x v="1"/>
    <x v="0"/>
    <x v="404"/>
    <n v="126.9"/>
    <x v="0"/>
    <b v="0"/>
    <x v="2"/>
    <n v="134681.70000000001"/>
    <x v="1"/>
  </r>
  <r>
    <x v="14"/>
    <x v="0"/>
    <n v="38.380000000000003"/>
    <x v="3"/>
    <x v="1"/>
    <x v="3"/>
    <x v="405"/>
    <n v="118.6"/>
    <x v="1"/>
    <b v="0"/>
    <x v="2"/>
    <n v="46246.33"/>
    <x v="2"/>
  </r>
  <r>
    <x v="3"/>
    <x v="0"/>
    <n v="24.31"/>
    <x v="0"/>
    <x v="1"/>
    <x v="1"/>
    <x v="406"/>
    <n v="117.2"/>
    <x v="3"/>
    <b v="0"/>
    <x v="2"/>
    <n v="180214.17"/>
    <x v="1"/>
  </r>
  <r>
    <x v="43"/>
    <x v="0"/>
    <n v="23.6"/>
    <x v="1"/>
    <x v="1"/>
    <x v="0"/>
    <x v="407"/>
    <n v="128.69999999999999"/>
    <x v="3"/>
    <b v="1"/>
    <x v="2"/>
    <n v="98891.53"/>
    <x v="1"/>
  </r>
  <r>
    <x v="26"/>
    <x v="1"/>
    <n v="21.12"/>
    <x v="2"/>
    <x v="1"/>
    <x v="1"/>
    <x v="408"/>
    <n v="128.4"/>
    <x v="0"/>
    <b v="1"/>
    <x v="0"/>
    <n v="32808.980000000003"/>
    <x v="1"/>
  </r>
  <r>
    <x v="4"/>
    <x v="1"/>
    <n v="30.03"/>
    <x v="1"/>
    <x v="1"/>
    <x v="1"/>
    <x v="409"/>
    <n v="133"/>
    <x v="2"/>
    <b v="0"/>
    <x v="2"/>
    <n v="150990.99"/>
    <x v="1"/>
  </r>
  <r>
    <x v="0"/>
    <x v="1"/>
    <n v="17.48"/>
    <x v="0"/>
    <x v="1"/>
    <x v="2"/>
    <x v="410"/>
    <n v="139.30000000000001"/>
    <x v="2"/>
    <b v="0"/>
    <x v="2"/>
    <n v="150529.5"/>
    <x v="0"/>
  </r>
  <r>
    <x v="37"/>
    <x v="0"/>
    <n v="20.234999999999999"/>
    <x v="1"/>
    <x v="0"/>
    <x v="3"/>
    <x v="411"/>
    <n v="111"/>
    <x v="2"/>
    <b v="0"/>
    <x v="1"/>
    <n v="163060.54"/>
    <x v="1"/>
  </r>
  <r>
    <x v="22"/>
    <x v="0"/>
    <n v="17.195"/>
    <x v="3"/>
    <x v="0"/>
    <x v="3"/>
    <x v="412"/>
    <n v="134.4"/>
    <x v="3"/>
    <b v="1"/>
    <x v="2"/>
    <n v="106883.39"/>
    <x v="0"/>
  </r>
  <r>
    <x v="9"/>
    <x v="1"/>
    <n v="23.9"/>
    <x v="4"/>
    <x v="1"/>
    <x v="0"/>
    <x v="413"/>
    <n v="119.4"/>
    <x v="3"/>
    <b v="1"/>
    <x v="2"/>
    <n v="109839.91"/>
    <x v="0"/>
  </r>
  <r>
    <x v="0"/>
    <x v="0"/>
    <n v="35.15"/>
    <x v="0"/>
    <x v="1"/>
    <x v="2"/>
    <x v="414"/>
    <n v="114"/>
    <x v="2"/>
    <b v="0"/>
    <x v="0"/>
    <n v="75991.320000000007"/>
    <x v="0"/>
  </r>
  <r>
    <x v="33"/>
    <x v="0"/>
    <n v="35.64"/>
    <x v="1"/>
    <x v="1"/>
    <x v="1"/>
    <x v="415"/>
    <n v="110.9"/>
    <x v="3"/>
    <b v="0"/>
    <x v="1"/>
    <n v="52946.84"/>
    <x v="1"/>
  </r>
  <r>
    <x v="14"/>
    <x v="1"/>
    <n v="34.1"/>
    <x v="0"/>
    <x v="1"/>
    <x v="1"/>
    <x v="416"/>
    <n v="137.19999999999999"/>
    <x v="2"/>
    <b v="0"/>
    <x v="1"/>
    <n v="109390.18"/>
    <x v="2"/>
  </r>
  <r>
    <x v="27"/>
    <x v="0"/>
    <n v="22.6"/>
    <x v="3"/>
    <x v="0"/>
    <x v="0"/>
    <x v="417"/>
    <n v="118.8"/>
    <x v="2"/>
    <b v="0"/>
    <x v="0"/>
    <n v="120695.91"/>
    <x v="1"/>
  </r>
  <r>
    <x v="34"/>
    <x v="1"/>
    <n v="39.159999999999997"/>
    <x v="1"/>
    <x v="1"/>
    <x v="1"/>
    <x v="418"/>
    <n v="115.2"/>
    <x v="3"/>
    <b v="1"/>
    <x v="0"/>
    <n v="77421.009999999995"/>
    <x v="2"/>
  </r>
  <r>
    <x v="19"/>
    <x v="0"/>
    <n v="26.98"/>
    <x v="0"/>
    <x v="0"/>
    <x v="2"/>
    <x v="419"/>
    <n v="132"/>
    <x v="2"/>
    <b v="1"/>
    <x v="0"/>
    <n v="168065.35"/>
    <x v="2"/>
  </r>
  <r>
    <x v="34"/>
    <x v="1"/>
    <n v="33.880000000000003"/>
    <x v="0"/>
    <x v="0"/>
    <x v="1"/>
    <x v="420"/>
    <n v="127.2"/>
    <x v="1"/>
    <b v="1"/>
    <x v="1"/>
    <n v="39146.480000000003"/>
    <x v="2"/>
  </r>
  <r>
    <x v="36"/>
    <x v="1"/>
    <n v="35.86"/>
    <x v="0"/>
    <x v="0"/>
    <x v="1"/>
    <x v="421"/>
    <n v="127.4"/>
    <x v="1"/>
    <b v="0"/>
    <x v="2"/>
    <n v="164524.87"/>
    <x v="2"/>
  </r>
  <r>
    <x v="30"/>
    <x v="1"/>
    <n v="32.774999999999999"/>
    <x v="1"/>
    <x v="0"/>
    <x v="3"/>
    <x v="422"/>
    <n v="134.1"/>
    <x v="1"/>
    <b v="0"/>
    <x v="2"/>
    <n v="47260.49"/>
    <x v="1"/>
  </r>
  <r>
    <x v="9"/>
    <x v="1"/>
    <n v="30.59"/>
    <x v="0"/>
    <x v="1"/>
    <x v="3"/>
    <x v="423"/>
    <n v="137.1"/>
    <x v="3"/>
    <b v="1"/>
    <x v="2"/>
    <n v="138112.82"/>
    <x v="0"/>
  </r>
  <r>
    <x v="29"/>
    <x v="1"/>
    <n v="30.2"/>
    <x v="3"/>
    <x v="1"/>
    <x v="0"/>
    <x v="424"/>
    <n v="137.5"/>
    <x v="0"/>
    <b v="1"/>
    <x v="1"/>
    <n v="165581.01"/>
    <x v="1"/>
  </r>
  <r>
    <x v="40"/>
    <x v="1"/>
    <n v="24.31"/>
    <x v="4"/>
    <x v="1"/>
    <x v="1"/>
    <x v="425"/>
    <n v="135.6"/>
    <x v="1"/>
    <b v="1"/>
    <x v="0"/>
    <n v="83680.240000000005"/>
    <x v="1"/>
  </r>
  <r>
    <x v="26"/>
    <x v="0"/>
    <n v="27.265000000000001"/>
    <x v="1"/>
    <x v="1"/>
    <x v="3"/>
    <x v="426"/>
    <n v="130"/>
    <x v="3"/>
    <b v="1"/>
    <x v="0"/>
    <n v="130623.84"/>
    <x v="1"/>
  </r>
  <r>
    <x v="1"/>
    <x v="0"/>
    <n v="29.164999999999999"/>
    <x v="0"/>
    <x v="1"/>
    <x v="3"/>
    <x v="427"/>
    <n v="115.6"/>
    <x v="2"/>
    <b v="1"/>
    <x v="0"/>
    <n v="81352.3"/>
    <x v="0"/>
  </r>
  <r>
    <x v="28"/>
    <x v="0"/>
    <n v="16.815000000000001"/>
    <x v="1"/>
    <x v="1"/>
    <x v="3"/>
    <x v="428"/>
    <n v="135.9"/>
    <x v="1"/>
    <b v="1"/>
    <x v="2"/>
    <n v="118734.77"/>
    <x v="0"/>
  </r>
  <r>
    <x v="13"/>
    <x v="0"/>
    <n v="30.4"/>
    <x v="2"/>
    <x v="1"/>
    <x v="2"/>
    <x v="429"/>
    <n v="110.6"/>
    <x v="1"/>
    <b v="1"/>
    <x v="0"/>
    <n v="171607.12"/>
    <x v="0"/>
  </r>
  <r>
    <x v="0"/>
    <x v="1"/>
    <n v="33.1"/>
    <x v="0"/>
    <x v="1"/>
    <x v="0"/>
    <x v="430"/>
    <n v="130.1"/>
    <x v="0"/>
    <b v="1"/>
    <x v="0"/>
    <n v="46681.95"/>
    <x v="0"/>
  </r>
  <r>
    <x v="39"/>
    <x v="0"/>
    <n v="20.234999999999999"/>
    <x v="3"/>
    <x v="1"/>
    <x v="2"/>
    <x v="431"/>
    <n v="130.80000000000001"/>
    <x v="1"/>
    <b v="1"/>
    <x v="1"/>
    <n v="199966.14"/>
    <x v="0"/>
  </r>
  <r>
    <x v="45"/>
    <x v="1"/>
    <n v="26.9"/>
    <x v="0"/>
    <x v="1"/>
    <x v="0"/>
    <x v="432"/>
    <n v="122.1"/>
    <x v="1"/>
    <b v="0"/>
    <x v="0"/>
    <n v="54314.400000000001"/>
    <x v="1"/>
  </r>
  <r>
    <x v="8"/>
    <x v="0"/>
    <n v="30.5"/>
    <x v="0"/>
    <x v="1"/>
    <x v="0"/>
    <x v="433"/>
    <n v="124"/>
    <x v="2"/>
    <b v="1"/>
    <x v="0"/>
    <n v="163451.34"/>
    <x v="2"/>
  </r>
  <r>
    <x v="5"/>
    <x v="1"/>
    <n v="28.594999999999999"/>
    <x v="1"/>
    <x v="1"/>
    <x v="2"/>
    <x v="434"/>
    <n v="129.30000000000001"/>
    <x v="0"/>
    <b v="1"/>
    <x v="1"/>
    <n v="47672.13"/>
    <x v="1"/>
  </r>
  <r>
    <x v="8"/>
    <x v="1"/>
    <n v="33.11"/>
    <x v="2"/>
    <x v="1"/>
    <x v="1"/>
    <x v="435"/>
    <n v="125.2"/>
    <x v="0"/>
    <b v="1"/>
    <x v="2"/>
    <n v="192413.28"/>
    <x v="2"/>
  </r>
  <r>
    <x v="21"/>
    <x v="1"/>
    <n v="31.73"/>
    <x v="0"/>
    <x v="1"/>
    <x v="3"/>
    <x v="436"/>
    <n v="117.3"/>
    <x v="0"/>
    <b v="0"/>
    <x v="1"/>
    <n v="82774.880000000005"/>
    <x v="0"/>
  </r>
  <r>
    <x v="23"/>
    <x v="1"/>
    <n v="28.9"/>
    <x v="2"/>
    <x v="1"/>
    <x v="0"/>
    <x v="437"/>
    <n v="139.80000000000001"/>
    <x v="3"/>
    <b v="1"/>
    <x v="1"/>
    <n v="114223.29"/>
    <x v="1"/>
  </r>
  <r>
    <x v="14"/>
    <x v="0"/>
    <n v="46.75"/>
    <x v="4"/>
    <x v="1"/>
    <x v="1"/>
    <x v="438"/>
    <n v="122.4"/>
    <x v="2"/>
    <b v="1"/>
    <x v="0"/>
    <n v="183777.67"/>
    <x v="2"/>
  </r>
  <r>
    <x v="22"/>
    <x v="1"/>
    <n v="29.45"/>
    <x v="0"/>
    <x v="1"/>
    <x v="3"/>
    <x v="439"/>
    <n v="128.19999999999999"/>
    <x v="1"/>
    <b v="1"/>
    <x v="0"/>
    <n v="196231.77"/>
    <x v="0"/>
  </r>
  <r>
    <x v="5"/>
    <x v="0"/>
    <n v="32.68"/>
    <x v="1"/>
    <x v="1"/>
    <x v="2"/>
    <x v="440"/>
    <n v="130.80000000000001"/>
    <x v="0"/>
    <b v="1"/>
    <x v="2"/>
    <n v="53125.61"/>
    <x v="1"/>
  </r>
  <r>
    <x v="3"/>
    <x v="0"/>
    <n v="33.5"/>
    <x v="0"/>
    <x v="0"/>
    <x v="0"/>
    <x v="441"/>
    <n v="116"/>
    <x v="2"/>
    <b v="0"/>
    <x v="2"/>
    <n v="185486.79"/>
    <x v="1"/>
  </r>
  <r>
    <x v="1"/>
    <x v="1"/>
    <n v="43.01"/>
    <x v="0"/>
    <x v="1"/>
    <x v="1"/>
    <x v="442"/>
    <n v="133.9"/>
    <x v="2"/>
    <b v="0"/>
    <x v="1"/>
    <n v="137217.54"/>
    <x v="0"/>
  </r>
  <r>
    <x v="18"/>
    <x v="0"/>
    <n v="36.520000000000003"/>
    <x v="1"/>
    <x v="1"/>
    <x v="1"/>
    <x v="443"/>
    <n v="115.2"/>
    <x v="1"/>
    <b v="0"/>
    <x v="1"/>
    <n v="65313.1"/>
    <x v="2"/>
  </r>
  <r>
    <x v="12"/>
    <x v="1"/>
    <n v="26.695"/>
    <x v="1"/>
    <x v="0"/>
    <x v="2"/>
    <x v="444"/>
    <n v="123.2"/>
    <x v="1"/>
    <b v="1"/>
    <x v="1"/>
    <n v="118623.56"/>
    <x v="2"/>
  </r>
  <r>
    <x v="40"/>
    <x v="0"/>
    <n v="33.1"/>
    <x v="0"/>
    <x v="1"/>
    <x v="0"/>
    <x v="445"/>
    <n v="110.7"/>
    <x v="0"/>
    <b v="1"/>
    <x v="0"/>
    <n v="31148.41"/>
    <x v="1"/>
  </r>
  <r>
    <x v="8"/>
    <x v="1"/>
    <n v="29.64"/>
    <x v="0"/>
    <x v="1"/>
    <x v="3"/>
    <x v="446"/>
    <n v="113.7"/>
    <x v="2"/>
    <b v="1"/>
    <x v="1"/>
    <n v="66475.97"/>
    <x v="2"/>
  </r>
  <r>
    <x v="12"/>
    <x v="0"/>
    <n v="25.65"/>
    <x v="0"/>
    <x v="1"/>
    <x v="2"/>
    <x v="447"/>
    <n v="118"/>
    <x v="3"/>
    <b v="0"/>
    <x v="1"/>
    <n v="85696.42"/>
    <x v="2"/>
  </r>
  <r>
    <x v="30"/>
    <x v="0"/>
    <n v="29.6"/>
    <x v="0"/>
    <x v="1"/>
    <x v="0"/>
    <x v="448"/>
    <n v="125"/>
    <x v="0"/>
    <b v="0"/>
    <x v="0"/>
    <n v="131445.35999999999"/>
    <x v="1"/>
  </r>
  <r>
    <x v="23"/>
    <x v="1"/>
    <n v="38.6"/>
    <x v="1"/>
    <x v="1"/>
    <x v="0"/>
    <x v="449"/>
    <n v="134.4"/>
    <x v="3"/>
    <b v="0"/>
    <x v="1"/>
    <n v="142058.63"/>
    <x v="1"/>
  </r>
  <r>
    <x v="11"/>
    <x v="1"/>
    <n v="29.6"/>
    <x v="5"/>
    <x v="1"/>
    <x v="0"/>
    <x v="450"/>
    <n v="131.30000000000001"/>
    <x v="1"/>
    <b v="0"/>
    <x v="0"/>
    <n v="182487.28"/>
    <x v="1"/>
  </r>
  <r>
    <x v="16"/>
    <x v="1"/>
    <n v="24.13"/>
    <x v="1"/>
    <x v="1"/>
    <x v="2"/>
    <x v="451"/>
    <n v="120"/>
    <x v="3"/>
    <b v="1"/>
    <x v="2"/>
    <n v="54419.6"/>
    <x v="1"/>
  </r>
  <r>
    <x v="24"/>
    <x v="1"/>
    <n v="23.4"/>
    <x v="0"/>
    <x v="1"/>
    <x v="0"/>
    <x v="452"/>
    <n v="120.6"/>
    <x v="0"/>
    <b v="0"/>
    <x v="1"/>
    <n v="78340.88"/>
    <x v="0"/>
  </r>
  <r>
    <x v="35"/>
    <x v="1"/>
    <n v="29.734999999999999"/>
    <x v="0"/>
    <x v="1"/>
    <x v="2"/>
    <x v="453"/>
    <n v="136.30000000000001"/>
    <x v="1"/>
    <b v="1"/>
    <x v="1"/>
    <n v="185759.84"/>
    <x v="0"/>
  </r>
  <r>
    <x v="4"/>
    <x v="1"/>
    <n v="46.53"/>
    <x v="3"/>
    <x v="1"/>
    <x v="1"/>
    <x v="454"/>
    <n v="110.4"/>
    <x v="3"/>
    <b v="1"/>
    <x v="2"/>
    <n v="108512.76"/>
    <x v="1"/>
  </r>
  <r>
    <x v="18"/>
    <x v="1"/>
    <n v="37.4"/>
    <x v="0"/>
    <x v="1"/>
    <x v="0"/>
    <x v="455"/>
    <n v="118.9"/>
    <x v="1"/>
    <b v="0"/>
    <x v="2"/>
    <n v="170714.71"/>
    <x v="2"/>
  </r>
  <r>
    <x v="20"/>
    <x v="0"/>
    <n v="30.14"/>
    <x v="3"/>
    <x v="1"/>
    <x v="1"/>
    <x v="456"/>
    <n v="117.7"/>
    <x v="3"/>
    <b v="1"/>
    <x v="0"/>
    <n v="71796.179999999993"/>
    <x v="2"/>
  </r>
  <r>
    <x v="38"/>
    <x v="0"/>
    <n v="30.495000000000001"/>
    <x v="0"/>
    <x v="1"/>
    <x v="2"/>
    <x v="457"/>
    <n v="118.7"/>
    <x v="0"/>
    <b v="0"/>
    <x v="2"/>
    <n v="199511.2"/>
    <x v="2"/>
  </r>
  <r>
    <x v="12"/>
    <x v="1"/>
    <n v="39.6"/>
    <x v="0"/>
    <x v="1"/>
    <x v="0"/>
    <x v="458"/>
    <n v="120.4"/>
    <x v="2"/>
    <b v="0"/>
    <x v="1"/>
    <n v="41373.15"/>
    <x v="2"/>
  </r>
  <r>
    <x v="30"/>
    <x v="0"/>
    <n v="33"/>
    <x v="2"/>
    <x v="1"/>
    <x v="1"/>
    <x v="459"/>
    <n v="125.2"/>
    <x v="3"/>
    <b v="0"/>
    <x v="2"/>
    <n v="117198.7"/>
    <x v="1"/>
  </r>
  <r>
    <x v="42"/>
    <x v="0"/>
    <n v="36.630000000000003"/>
    <x v="2"/>
    <x v="1"/>
    <x v="1"/>
    <x v="460"/>
    <n v="133.80000000000001"/>
    <x v="2"/>
    <b v="1"/>
    <x v="0"/>
    <n v="155671.78"/>
    <x v="1"/>
  </r>
  <r>
    <x v="45"/>
    <x v="1"/>
    <n v="30"/>
    <x v="0"/>
    <x v="0"/>
    <x v="0"/>
    <x v="461"/>
    <n v="123.2"/>
    <x v="3"/>
    <b v="1"/>
    <x v="2"/>
    <n v="180347.09"/>
    <x v="1"/>
  </r>
  <r>
    <x v="10"/>
    <x v="0"/>
    <n v="38.094999999999999"/>
    <x v="3"/>
    <x v="1"/>
    <x v="3"/>
    <x v="462"/>
    <n v="125.9"/>
    <x v="0"/>
    <b v="1"/>
    <x v="0"/>
    <n v="146698.96"/>
    <x v="2"/>
  </r>
  <r>
    <x v="12"/>
    <x v="1"/>
    <n v="25.934999999999999"/>
    <x v="0"/>
    <x v="1"/>
    <x v="3"/>
    <x v="463"/>
    <n v="110.6"/>
    <x v="2"/>
    <b v="1"/>
    <x v="2"/>
    <n v="126400.31"/>
    <x v="2"/>
  </r>
  <r>
    <x v="0"/>
    <x v="1"/>
    <n v="25.175000000000001"/>
    <x v="0"/>
    <x v="1"/>
    <x v="2"/>
    <x v="464"/>
    <n v="139.4"/>
    <x v="2"/>
    <b v="1"/>
    <x v="2"/>
    <n v="152338.62"/>
    <x v="0"/>
  </r>
  <r>
    <x v="16"/>
    <x v="0"/>
    <n v="28.38"/>
    <x v="1"/>
    <x v="0"/>
    <x v="1"/>
    <x v="465"/>
    <n v="110.8"/>
    <x v="2"/>
    <b v="0"/>
    <x v="2"/>
    <n v="109066.75"/>
    <x v="1"/>
  </r>
  <r>
    <x v="8"/>
    <x v="0"/>
    <n v="28.7"/>
    <x v="1"/>
    <x v="1"/>
    <x v="0"/>
    <x v="466"/>
    <n v="116.8"/>
    <x v="3"/>
    <b v="1"/>
    <x v="0"/>
    <n v="124076.67"/>
    <x v="2"/>
  </r>
  <r>
    <x v="12"/>
    <x v="0"/>
    <n v="33.82"/>
    <x v="3"/>
    <x v="1"/>
    <x v="2"/>
    <x v="467"/>
    <n v="121.6"/>
    <x v="0"/>
    <b v="1"/>
    <x v="1"/>
    <n v="34249.35"/>
    <x v="2"/>
  </r>
  <r>
    <x v="2"/>
    <x v="0"/>
    <n v="24.32"/>
    <x v="1"/>
    <x v="1"/>
    <x v="3"/>
    <x v="468"/>
    <n v="124.9"/>
    <x v="2"/>
    <b v="0"/>
    <x v="0"/>
    <n v="198388.11"/>
    <x v="0"/>
  </r>
  <r>
    <x v="1"/>
    <x v="0"/>
    <n v="24.09"/>
    <x v="1"/>
    <x v="1"/>
    <x v="1"/>
    <x v="469"/>
    <n v="116.3"/>
    <x v="0"/>
    <b v="0"/>
    <x v="0"/>
    <n v="81466.789999999994"/>
    <x v="0"/>
  </r>
  <r>
    <x v="13"/>
    <x v="1"/>
    <n v="32.67"/>
    <x v="0"/>
    <x v="1"/>
    <x v="1"/>
    <x v="470"/>
    <n v="119.7"/>
    <x v="0"/>
    <b v="1"/>
    <x v="1"/>
    <n v="176876.76"/>
    <x v="0"/>
  </r>
  <r>
    <x v="1"/>
    <x v="0"/>
    <n v="30.114999999999998"/>
    <x v="0"/>
    <x v="1"/>
    <x v="3"/>
    <x v="471"/>
    <n v="131.80000000000001"/>
    <x v="1"/>
    <b v="0"/>
    <x v="1"/>
    <n v="160027.79"/>
    <x v="0"/>
  </r>
  <r>
    <x v="0"/>
    <x v="0"/>
    <n v="29.8"/>
    <x v="0"/>
    <x v="1"/>
    <x v="0"/>
    <x v="472"/>
    <n v="123.9"/>
    <x v="2"/>
    <b v="0"/>
    <x v="0"/>
    <n v="66421.83"/>
    <x v="0"/>
  </r>
  <r>
    <x v="43"/>
    <x v="0"/>
    <n v="33.344999999999999"/>
    <x v="0"/>
    <x v="1"/>
    <x v="3"/>
    <x v="473"/>
    <n v="132.9"/>
    <x v="1"/>
    <b v="0"/>
    <x v="2"/>
    <n v="150984.04"/>
    <x v="1"/>
  </r>
  <r>
    <x v="41"/>
    <x v="1"/>
    <n v="25.1"/>
    <x v="2"/>
    <x v="0"/>
    <x v="0"/>
    <x v="474"/>
    <n v="132.69999999999999"/>
    <x v="0"/>
    <b v="0"/>
    <x v="2"/>
    <n v="79209.47"/>
    <x v="2"/>
  </r>
  <r>
    <x v="36"/>
    <x v="1"/>
    <n v="28.31"/>
    <x v="1"/>
    <x v="0"/>
    <x v="2"/>
    <x v="475"/>
    <n v="135.5"/>
    <x v="1"/>
    <b v="1"/>
    <x v="0"/>
    <n v="141582.6"/>
    <x v="2"/>
  </r>
  <r>
    <x v="24"/>
    <x v="1"/>
    <n v="28.5"/>
    <x v="0"/>
    <x v="0"/>
    <x v="3"/>
    <x v="476"/>
    <n v="120.7"/>
    <x v="0"/>
    <b v="1"/>
    <x v="2"/>
    <n v="172105.78"/>
    <x v="0"/>
  </r>
  <r>
    <x v="9"/>
    <x v="1"/>
    <n v="35.625"/>
    <x v="0"/>
    <x v="1"/>
    <x v="2"/>
    <x v="477"/>
    <n v="113.5"/>
    <x v="3"/>
    <b v="1"/>
    <x v="2"/>
    <n v="196184.81"/>
    <x v="0"/>
  </r>
  <r>
    <x v="28"/>
    <x v="1"/>
    <n v="36.85"/>
    <x v="0"/>
    <x v="1"/>
    <x v="1"/>
    <x v="478"/>
    <n v="117.6"/>
    <x v="2"/>
    <b v="0"/>
    <x v="1"/>
    <n v="129270.07"/>
    <x v="0"/>
  </r>
  <r>
    <x v="15"/>
    <x v="1"/>
    <n v="32.56"/>
    <x v="0"/>
    <x v="1"/>
    <x v="1"/>
    <x v="479"/>
    <n v="138"/>
    <x v="1"/>
    <b v="0"/>
    <x v="1"/>
    <n v="37118.1"/>
    <x v="0"/>
  </r>
  <r>
    <x v="19"/>
    <x v="1"/>
    <n v="41.325000000000003"/>
    <x v="2"/>
    <x v="1"/>
    <x v="2"/>
    <x v="480"/>
    <n v="127.2"/>
    <x v="3"/>
    <b v="0"/>
    <x v="2"/>
    <n v="121788.14"/>
    <x v="2"/>
  </r>
  <r>
    <x v="42"/>
    <x v="1"/>
    <n v="37.51"/>
    <x v="3"/>
    <x v="1"/>
    <x v="1"/>
    <x v="481"/>
    <n v="123.6"/>
    <x v="3"/>
    <b v="0"/>
    <x v="2"/>
    <n v="162616.82999999999"/>
    <x v="1"/>
  </r>
  <r>
    <x v="1"/>
    <x v="0"/>
    <n v="31.35"/>
    <x v="0"/>
    <x v="1"/>
    <x v="1"/>
    <x v="482"/>
    <n v="117.1"/>
    <x v="2"/>
    <b v="1"/>
    <x v="0"/>
    <n v="168798.46"/>
    <x v="0"/>
  </r>
  <r>
    <x v="44"/>
    <x v="0"/>
    <n v="39.5"/>
    <x v="1"/>
    <x v="1"/>
    <x v="0"/>
    <x v="483"/>
    <n v="132.69999999999999"/>
    <x v="0"/>
    <b v="0"/>
    <x v="1"/>
    <n v="174257.92000000001"/>
    <x v="2"/>
  </r>
  <r>
    <x v="29"/>
    <x v="1"/>
    <n v="34.299999999999997"/>
    <x v="2"/>
    <x v="1"/>
    <x v="0"/>
    <x v="484"/>
    <n v="137.1"/>
    <x v="2"/>
    <b v="0"/>
    <x v="2"/>
    <n v="39675.69"/>
    <x v="1"/>
  </r>
  <r>
    <x v="5"/>
    <x v="0"/>
    <n v="31.065000000000001"/>
    <x v="0"/>
    <x v="1"/>
    <x v="3"/>
    <x v="485"/>
    <n v="128.80000000000001"/>
    <x v="3"/>
    <b v="1"/>
    <x v="0"/>
    <n v="198628.58"/>
    <x v="1"/>
  </r>
  <r>
    <x v="41"/>
    <x v="0"/>
    <n v="21.47"/>
    <x v="2"/>
    <x v="1"/>
    <x v="2"/>
    <x v="486"/>
    <n v="134.5"/>
    <x v="3"/>
    <b v="0"/>
    <x v="1"/>
    <n v="77944.41"/>
    <x v="2"/>
  </r>
  <r>
    <x v="0"/>
    <x v="1"/>
    <n v="28.7"/>
    <x v="0"/>
    <x v="1"/>
    <x v="0"/>
    <x v="487"/>
    <n v="131.6"/>
    <x v="0"/>
    <b v="0"/>
    <x v="1"/>
    <n v="94175.94"/>
    <x v="0"/>
  </r>
  <r>
    <x v="37"/>
    <x v="0"/>
    <n v="38.06"/>
    <x v="0"/>
    <x v="0"/>
    <x v="1"/>
    <x v="488"/>
    <n v="138.6"/>
    <x v="1"/>
    <b v="1"/>
    <x v="2"/>
    <n v="176234.01"/>
    <x v="1"/>
  </r>
  <r>
    <x v="32"/>
    <x v="1"/>
    <n v="31.16"/>
    <x v="1"/>
    <x v="1"/>
    <x v="2"/>
    <x v="489"/>
    <n v="126.3"/>
    <x v="3"/>
    <b v="0"/>
    <x v="1"/>
    <n v="56514.92"/>
    <x v="2"/>
  </r>
  <r>
    <x v="0"/>
    <x v="0"/>
    <n v="32.9"/>
    <x v="0"/>
    <x v="1"/>
    <x v="0"/>
    <x v="490"/>
    <n v="119"/>
    <x v="2"/>
    <b v="0"/>
    <x v="0"/>
    <n v="125064.56"/>
    <x v="0"/>
  </r>
  <r>
    <x v="36"/>
    <x v="0"/>
    <n v="25.08"/>
    <x v="0"/>
    <x v="1"/>
    <x v="1"/>
    <x v="491"/>
    <n v="124.9"/>
    <x v="3"/>
    <b v="0"/>
    <x v="1"/>
    <n v="100972.12"/>
    <x v="2"/>
  </r>
  <r>
    <x v="1"/>
    <x v="0"/>
    <n v="25.08"/>
    <x v="0"/>
    <x v="1"/>
    <x v="3"/>
    <x v="492"/>
    <n v="111.4"/>
    <x v="2"/>
    <b v="0"/>
    <x v="0"/>
    <n v="191434.91"/>
    <x v="0"/>
  </r>
  <r>
    <x v="36"/>
    <x v="1"/>
    <n v="43.4"/>
    <x v="0"/>
    <x v="1"/>
    <x v="0"/>
    <x v="493"/>
    <n v="129"/>
    <x v="3"/>
    <b v="1"/>
    <x v="1"/>
    <n v="128594.58"/>
    <x v="2"/>
  </r>
  <r>
    <x v="28"/>
    <x v="1"/>
    <n v="25.7"/>
    <x v="5"/>
    <x v="0"/>
    <x v="0"/>
    <x v="494"/>
    <n v="120.9"/>
    <x v="2"/>
    <b v="0"/>
    <x v="2"/>
    <n v="102066.21"/>
    <x v="0"/>
  </r>
  <r>
    <x v="35"/>
    <x v="1"/>
    <n v="27.93"/>
    <x v="0"/>
    <x v="1"/>
    <x v="3"/>
    <x v="495"/>
    <n v="129.69999999999999"/>
    <x v="1"/>
    <b v="0"/>
    <x v="2"/>
    <n v="140452.26"/>
    <x v="0"/>
  </r>
  <r>
    <x v="5"/>
    <x v="0"/>
    <n v="23.6"/>
    <x v="3"/>
    <x v="1"/>
    <x v="0"/>
    <x v="496"/>
    <n v="127"/>
    <x v="1"/>
    <b v="1"/>
    <x v="1"/>
    <n v="110728.65"/>
    <x v="1"/>
  </r>
  <r>
    <x v="40"/>
    <x v="1"/>
    <n v="28.7"/>
    <x v="3"/>
    <x v="1"/>
    <x v="0"/>
    <x v="497"/>
    <n v="134.19999999999999"/>
    <x v="0"/>
    <b v="1"/>
    <x v="1"/>
    <n v="85855.39"/>
    <x v="1"/>
  </r>
  <r>
    <x v="37"/>
    <x v="0"/>
    <n v="23.98"/>
    <x v="3"/>
    <x v="1"/>
    <x v="1"/>
    <x v="498"/>
    <n v="134.1"/>
    <x v="0"/>
    <b v="1"/>
    <x v="1"/>
    <n v="101442.32"/>
    <x v="1"/>
  </r>
  <r>
    <x v="10"/>
    <x v="0"/>
    <n v="39.200000000000003"/>
    <x v="0"/>
    <x v="1"/>
    <x v="0"/>
    <x v="499"/>
    <n v="117.1"/>
    <x v="3"/>
    <b v="0"/>
    <x v="2"/>
    <n v="154292.70000000001"/>
    <x v="2"/>
  </r>
  <r>
    <x v="39"/>
    <x v="1"/>
    <n v="34.4"/>
    <x v="0"/>
    <x v="0"/>
    <x v="0"/>
    <x v="500"/>
    <n v="113"/>
    <x v="1"/>
    <b v="0"/>
    <x v="1"/>
    <n v="64666.19"/>
    <x v="0"/>
  </r>
  <r>
    <x v="33"/>
    <x v="1"/>
    <n v="26.03"/>
    <x v="0"/>
    <x v="1"/>
    <x v="3"/>
    <x v="501"/>
    <n v="127.9"/>
    <x v="3"/>
    <b v="1"/>
    <x v="1"/>
    <n v="86957.75"/>
    <x v="1"/>
  </r>
  <r>
    <x v="44"/>
    <x v="1"/>
    <n v="23.21"/>
    <x v="1"/>
    <x v="0"/>
    <x v="1"/>
    <x v="502"/>
    <n v="113.2"/>
    <x v="1"/>
    <b v="0"/>
    <x v="0"/>
    <n v="141259.25"/>
    <x v="2"/>
  </r>
  <r>
    <x v="0"/>
    <x v="1"/>
    <n v="30.25"/>
    <x v="0"/>
    <x v="0"/>
    <x v="1"/>
    <x v="503"/>
    <n v="125"/>
    <x v="3"/>
    <b v="0"/>
    <x v="2"/>
    <n v="124671.76"/>
    <x v="0"/>
  </r>
  <r>
    <x v="26"/>
    <x v="0"/>
    <n v="28.93"/>
    <x v="1"/>
    <x v="1"/>
    <x v="1"/>
    <x v="504"/>
    <n v="137.30000000000001"/>
    <x v="2"/>
    <b v="0"/>
    <x v="2"/>
    <n v="103275.22"/>
    <x v="1"/>
  </r>
  <r>
    <x v="7"/>
    <x v="1"/>
    <n v="30.875"/>
    <x v="2"/>
    <x v="1"/>
    <x v="2"/>
    <x v="505"/>
    <n v="133.19999999999999"/>
    <x v="2"/>
    <b v="0"/>
    <x v="1"/>
    <n v="112957.42"/>
    <x v="1"/>
  </r>
  <r>
    <x v="21"/>
    <x v="1"/>
    <n v="31.35"/>
    <x v="1"/>
    <x v="1"/>
    <x v="2"/>
    <x v="506"/>
    <n v="130.69999999999999"/>
    <x v="2"/>
    <b v="1"/>
    <x v="2"/>
    <n v="70908"/>
    <x v="0"/>
  </r>
  <r>
    <x v="28"/>
    <x v="1"/>
    <n v="23.75"/>
    <x v="3"/>
    <x v="1"/>
    <x v="2"/>
    <x v="507"/>
    <n v="133.9"/>
    <x v="2"/>
    <b v="1"/>
    <x v="1"/>
    <n v="174493.14"/>
    <x v="0"/>
  </r>
  <r>
    <x v="24"/>
    <x v="0"/>
    <n v="25.27"/>
    <x v="0"/>
    <x v="1"/>
    <x v="3"/>
    <x v="508"/>
    <n v="130.19999999999999"/>
    <x v="3"/>
    <b v="0"/>
    <x v="1"/>
    <n v="83190.87"/>
    <x v="0"/>
  </r>
  <r>
    <x v="38"/>
    <x v="0"/>
    <n v="28.7"/>
    <x v="0"/>
    <x v="1"/>
    <x v="0"/>
    <x v="509"/>
    <n v="122.3"/>
    <x v="1"/>
    <b v="1"/>
    <x v="2"/>
    <n v="151604.31"/>
    <x v="2"/>
  </r>
  <r>
    <x v="12"/>
    <x v="1"/>
    <n v="32.11"/>
    <x v="1"/>
    <x v="1"/>
    <x v="3"/>
    <x v="510"/>
    <n v="126.7"/>
    <x v="1"/>
    <b v="1"/>
    <x v="0"/>
    <n v="127820.39"/>
    <x v="2"/>
  </r>
  <r>
    <x v="13"/>
    <x v="1"/>
    <n v="33.659999999999997"/>
    <x v="0"/>
    <x v="1"/>
    <x v="1"/>
    <x v="511"/>
    <n v="120.5"/>
    <x v="1"/>
    <b v="0"/>
    <x v="0"/>
    <n v="145561.51999999999"/>
    <x v="0"/>
  </r>
  <r>
    <x v="44"/>
    <x v="1"/>
    <n v="22.42"/>
    <x v="0"/>
    <x v="1"/>
    <x v="3"/>
    <x v="512"/>
    <n v="119.1"/>
    <x v="3"/>
    <b v="0"/>
    <x v="2"/>
    <n v="98678.78"/>
    <x v="2"/>
  </r>
  <r>
    <x v="0"/>
    <x v="1"/>
    <n v="30.4"/>
    <x v="0"/>
    <x v="1"/>
    <x v="0"/>
    <x v="513"/>
    <n v="130.19999999999999"/>
    <x v="2"/>
    <b v="1"/>
    <x v="2"/>
    <n v="122835.23"/>
    <x v="0"/>
  </r>
  <r>
    <x v="11"/>
    <x v="1"/>
    <n v="28.3"/>
    <x v="1"/>
    <x v="0"/>
    <x v="0"/>
    <x v="514"/>
    <n v="117.4"/>
    <x v="0"/>
    <b v="0"/>
    <x v="0"/>
    <n v="70629.61"/>
    <x v="1"/>
  </r>
  <r>
    <x v="31"/>
    <x v="1"/>
    <n v="35.700000000000003"/>
    <x v="0"/>
    <x v="1"/>
    <x v="0"/>
    <x v="515"/>
    <n v="118.5"/>
    <x v="2"/>
    <b v="1"/>
    <x v="0"/>
    <n v="60397.81"/>
    <x v="2"/>
  </r>
  <r>
    <x v="35"/>
    <x v="1"/>
    <n v="35.31"/>
    <x v="1"/>
    <x v="1"/>
    <x v="1"/>
    <x v="516"/>
    <n v="113.8"/>
    <x v="3"/>
    <b v="1"/>
    <x v="0"/>
    <n v="113200"/>
    <x v="0"/>
  </r>
  <r>
    <x v="40"/>
    <x v="1"/>
    <n v="30.495000000000001"/>
    <x v="3"/>
    <x v="1"/>
    <x v="2"/>
    <x v="517"/>
    <n v="129"/>
    <x v="3"/>
    <b v="0"/>
    <x v="1"/>
    <n v="162187.49"/>
    <x v="1"/>
  </r>
  <r>
    <x v="23"/>
    <x v="0"/>
    <n v="31"/>
    <x v="1"/>
    <x v="1"/>
    <x v="0"/>
    <x v="518"/>
    <n v="122.2"/>
    <x v="3"/>
    <b v="0"/>
    <x v="1"/>
    <n v="125015.9"/>
    <x v="1"/>
  </r>
  <r>
    <x v="5"/>
    <x v="1"/>
    <n v="30.875"/>
    <x v="0"/>
    <x v="1"/>
    <x v="3"/>
    <x v="519"/>
    <n v="130.4"/>
    <x v="2"/>
    <b v="0"/>
    <x v="2"/>
    <n v="100301.75999999999"/>
    <x v="1"/>
  </r>
  <r>
    <x v="46"/>
    <x v="0"/>
    <n v="27.36"/>
    <x v="0"/>
    <x v="1"/>
    <x v="3"/>
    <x v="520"/>
    <n v="131.1"/>
    <x v="2"/>
    <b v="1"/>
    <x v="0"/>
    <n v="117277.56"/>
    <x v="1"/>
  </r>
  <r>
    <x v="4"/>
    <x v="0"/>
    <n v="44.22"/>
    <x v="0"/>
    <x v="1"/>
    <x v="1"/>
    <x v="521"/>
    <n v="111"/>
    <x v="2"/>
    <b v="0"/>
    <x v="1"/>
    <n v="105893.9"/>
    <x v="1"/>
  </r>
  <r>
    <x v="44"/>
    <x v="0"/>
    <n v="33.914999999999999"/>
    <x v="0"/>
    <x v="1"/>
    <x v="3"/>
    <x v="522"/>
    <n v="133.80000000000001"/>
    <x v="0"/>
    <b v="0"/>
    <x v="0"/>
    <n v="177741.59"/>
    <x v="2"/>
  </r>
  <r>
    <x v="26"/>
    <x v="0"/>
    <n v="37.729999999999997"/>
    <x v="0"/>
    <x v="1"/>
    <x v="1"/>
    <x v="523"/>
    <n v="127.5"/>
    <x v="3"/>
    <b v="1"/>
    <x v="1"/>
    <n v="137960.84"/>
    <x v="1"/>
  </r>
  <r>
    <x v="45"/>
    <x v="1"/>
    <n v="26.07"/>
    <x v="1"/>
    <x v="0"/>
    <x v="1"/>
    <x v="524"/>
    <n v="121.6"/>
    <x v="1"/>
    <b v="1"/>
    <x v="1"/>
    <n v="91417.66"/>
    <x v="1"/>
  </r>
  <r>
    <x v="1"/>
    <x v="0"/>
    <n v="33.880000000000003"/>
    <x v="0"/>
    <x v="1"/>
    <x v="1"/>
    <x v="525"/>
    <n v="139.5"/>
    <x v="3"/>
    <b v="1"/>
    <x v="2"/>
    <n v="152187.92000000001"/>
    <x v="0"/>
  </r>
  <r>
    <x v="0"/>
    <x v="0"/>
    <n v="30.59"/>
    <x v="3"/>
    <x v="1"/>
    <x v="2"/>
    <x v="526"/>
    <n v="110.8"/>
    <x v="1"/>
    <b v="0"/>
    <x v="2"/>
    <n v="159805.75"/>
    <x v="0"/>
  </r>
  <r>
    <x v="44"/>
    <x v="0"/>
    <n v="25.8"/>
    <x v="1"/>
    <x v="1"/>
    <x v="0"/>
    <x v="527"/>
    <n v="112"/>
    <x v="2"/>
    <b v="1"/>
    <x v="2"/>
    <n v="85768.16"/>
    <x v="2"/>
  </r>
  <r>
    <x v="6"/>
    <x v="1"/>
    <n v="39.424999999999997"/>
    <x v="1"/>
    <x v="1"/>
    <x v="3"/>
    <x v="528"/>
    <n v="122.1"/>
    <x v="2"/>
    <b v="1"/>
    <x v="2"/>
    <n v="35454.949999999997"/>
    <x v="1"/>
  </r>
  <r>
    <x v="1"/>
    <x v="1"/>
    <n v="25.46"/>
    <x v="0"/>
    <x v="1"/>
    <x v="3"/>
    <x v="529"/>
    <n v="127.5"/>
    <x v="0"/>
    <b v="0"/>
    <x v="0"/>
    <n v="46542.98"/>
    <x v="0"/>
  </r>
  <r>
    <x v="38"/>
    <x v="1"/>
    <n v="42.13"/>
    <x v="1"/>
    <x v="0"/>
    <x v="1"/>
    <x v="530"/>
    <n v="124.6"/>
    <x v="1"/>
    <b v="1"/>
    <x v="1"/>
    <n v="182886.16"/>
    <x v="2"/>
  </r>
  <r>
    <x v="10"/>
    <x v="0"/>
    <n v="31.73"/>
    <x v="0"/>
    <x v="1"/>
    <x v="3"/>
    <x v="531"/>
    <n v="115.7"/>
    <x v="1"/>
    <b v="0"/>
    <x v="2"/>
    <n v="146356.51"/>
    <x v="2"/>
  </r>
  <r>
    <x v="18"/>
    <x v="1"/>
    <n v="29.7"/>
    <x v="3"/>
    <x v="1"/>
    <x v="1"/>
    <x v="532"/>
    <n v="136.9"/>
    <x v="2"/>
    <b v="0"/>
    <x v="0"/>
    <n v="183722.07"/>
    <x v="2"/>
  </r>
  <r>
    <x v="7"/>
    <x v="1"/>
    <n v="36.19"/>
    <x v="0"/>
    <x v="1"/>
    <x v="1"/>
    <x v="533"/>
    <n v="118.4"/>
    <x v="3"/>
    <b v="1"/>
    <x v="0"/>
    <n v="118632.94"/>
    <x v="1"/>
  </r>
  <r>
    <x v="34"/>
    <x v="1"/>
    <n v="40.479999999999997"/>
    <x v="0"/>
    <x v="1"/>
    <x v="1"/>
    <x v="534"/>
    <n v="120.4"/>
    <x v="2"/>
    <b v="0"/>
    <x v="0"/>
    <n v="107216.21"/>
    <x v="2"/>
  </r>
  <r>
    <x v="26"/>
    <x v="1"/>
    <n v="28.024999999999999"/>
    <x v="1"/>
    <x v="1"/>
    <x v="3"/>
    <x v="535"/>
    <n v="126.3"/>
    <x v="2"/>
    <b v="0"/>
    <x v="2"/>
    <n v="187720.16"/>
    <x v="1"/>
  </r>
  <r>
    <x v="3"/>
    <x v="0"/>
    <n v="38.9"/>
    <x v="2"/>
    <x v="1"/>
    <x v="0"/>
    <x v="536"/>
    <n v="122.6"/>
    <x v="2"/>
    <b v="1"/>
    <x v="0"/>
    <n v="95172.97"/>
    <x v="1"/>
  </r>
  <r>
    <x v="6"/>
    <x v="0"/>
    <n v="30.2"/>
    <x v="3"/>
    <x v="1"/>
    <x v="0"/>
    <x v="537"/>
    <n v="115.8"/>
    <x v="1"/>
    <b v="1"/>
    <x v="1"/>
    <n v="190261.84"/>
    <x v="1"/>
  </r>
  <r>
    <x v="6"/>
    <x v="0"/>
    <n v="28.05"/>
    <x v="1"/>
    <x v="1"/>
    <x v="1"/>
    <x v="538"/>
    <n v="126.2"/>
    <x v="0"/>
    <b v="0"/>
    <x v="1"/>
    <n v="70491.19"/>
    <x v="1"/>
  </r>
  <r>
    <x v="32"/>
    <x v="1"/>
    <n v="31.35"/>
    <x v="0"/>
    <x v="1"/>
    <x v="1"/>
    <x v="539"/>
    <n v="124.9"/>
    <x v="2"/>
    <b v="0"/>
    <x v="0"/>
    <n v="162099.85999999999"/>
    <x v="2"/>
  </r>
  <r>
    <x v="17"/>
    <x v="0"/>
    <n v="38"/>
    <x v="2"/>
    <x v="1"/>
    <x v="0"/>
    <x v="540"/>
    <n v="117.3"/>
    <x v="3"/>
    <b v="1"/>
    <x v="2"/>
    <n v="158210.51999999999"/>
    <x v="1"/>
  </r>
  <r>
    <x v="35"/>
    <x v="0"/>
    <n v="31.79"/>
    <x v="3"/>
    <x v="1"/>
    <x v="1"/>
    <x v="541"/>
    <n v="111.3"/>
    <x v="0"/>
    <b v="1"/>
    <x v="0"/>
    <n v="40815.42"/>
    <x v="0"/>
  </r>
  <r>
    <x v="19"/>
    <x v="0"/>
    <n v="36.299999999999997"/>
    <x v="0"/>
    <x v="1"/>
    <x v="1"/>
    <x v="542"/>
    <n v="110.8"/>
    <x v="2"/>
    <b v="0"/>
    <x v="2"/>
    <n v="149414.13"/>
    <x v="2"/>
  </r>
  <r>
    <x v="41"/>
    <x v="0"/>
    <n v="47.41"/>
    <x v="0"/>
    <x v="0"/>
    <x v="1"/>
    <x v="543"/>
    <n v="126.7"/>
    <x v="2"/>
    <b v="0"/>
    <x v="1"/>
    <n v="174544.01"/>
    <x v="2"/>
  </r>
  <r>
    <x v="41"/>
    <x v="1"/>
    <n v="30.21"/>
    <x v="0"/>
    <x v="1"/>
    <x v="2"/>
    <x v="544"/>
    <n v="117.9"/>
    <x v="2"/>
    <b v="1"/>
    <x v="1"/>
    <n v="196628.03"/>
    <x v="2"/>
  </r>
  <r>
    <x v="42"/>
    <x v="1"/>
    <n v="25.84"/>
    <x v="3"/>
    <x v="0"/>
    <x v="2"/>
    <x v="545"/>
    <n v="130.4"/>
    <x v="3"/>
    <b v="0"/>
    <x v="2"/>
    <n v="82917.86"/>
    <x v="1"/>
  </r>
  <r>
    <x v="2"/>
    <x v="1"/>
    <n v="35.435000000000002"/>
    <x v="0"/>
    <x v="1"/>
    <x v="3"/>
    <x v="546"/>
    <n v="137.69999999999999"/>
    <x v="2"/>
    <b v="1"/>
    <x v="0"/>
    <n v="76537.710000000006"/>
    <x v="0"/>
  </r>
  <r>
    <x v="41"/>
    <x v="0"/>
    <n v="46.7"/>
    <x v="3"/>
    <x v="1"/>
    <x v="0"/>
    <x v="547"/>
    <n v="126.8"/>
    <x v="0"/>
    <b v="0"/>
    <x v="2"/>
    <n v="152320.73000000001"/>
    <x v="2"/>
  </r>
  <r>
    <x v="9"/>
    <x v="0"/>
    <n v="28.594999999999999"/>
    <x v="0"/>
    <x v="1"/>
    <x v="3"/>
    <x v="548"/>
    <n v="125.8"/>
    <x v="0"/>
    <b v="1"/>
    <x v="0"/>
    <n v="109109.42"/>
    <x v="0"/>
  </r>
  <r>
    <x v="33"/>
    <x v="0"/>
    <n v="46.2"/>
    <x v="0"/>
    <x v="0"/>
    <x v="1"/>
    <x v="549"/>
    <n v="110.8"/>
    <x v="3"/>
    <b v="1"/>
    <x v="2"/>
    <n v="101765.28"/>
    <x v="1"/>
  </r>
  <r>
    <x v="19"/>
    <x v="1"/>
    <n v="30.8"/>
    <x v="0"/>
    <x v="1"/>
    <x v="0"/>
    <x v="550"/>
    <n v="133.4"/>
    <x v="3"/>
    <b v="0"/>
    <x v="2"/>
    <n v="76248.27"/>
    <x v="2"/>
  </r>
  <r>
    <x v="4"/>
    <x v="0"/>
    <n v="28.93"/>
    <x v="0"/>
    <x v="1"/>
    <x v="1"/>
    <x v="551"/>
    <n v="129.80000000000001"/>
    <x v="1"/>
    <b v="0"/>
    <x v="1"/>
    <n v="137433.71"/>
    <x v="1"/>
  </r>
  <r>
    <x v="10"/>
    <x v="1"/>
    <n v="21.4"/>
    <x v="0"/>
    <x v="1"/>
    <x v="0"/>
    <x v="552"/>
    <n v="117.7"/>
    <x v="3"/>
    <b v="1"/>
    <x v="2"/>
    <n v="175495.39"/>
    <x v="2"/>
  </r>
  <r>
    <x v="14"/>
    <x v="0"/>
    <n v="31.73"/>
    <x v="3"/>
    <x v="1"/>
    <x v="2"/>
    <x v="553"/>
    <n v="112"/>
    <x v="3"/>
    <b v="1"/>
    <x v="1"/>
    <n v="83338.12"/>
    <x v="2"/>
  </r>
  <r>
    <x v="9"/>
    <x v="0"/>
    <n v="41.325000000000003"/>
    <x v="0"/>
    <x v="1"/>
    <x v="3"/>
    <x v="554"/>
    <n v="123.5"/>
    <x v="0"/>
    <b v="0"/>
    <x v="0"/>
    <n v="105873.92"/>
    <x v="0"/>
  </r>
  <r>
    <x v="2"/>
    <x v="1"/>
    <n v="23.8"/>
    <x v="3"/>
    <x v="1"/>
    <x v="0"/>
    <x v="555"/>
    <n v="120"/>
    <x v="3"/>
    <b v="0"/>
    <x v="2"/>
    <n v="93108.3"/>
    <x v="0"/>
  </r>
  <r>
    <x v="6"/>
    <x v="1"/>
    <n v="33.44"/>
    <x v="1"/>
    <x v="1"/>
    <x v="3"/>
    <x v="556"/>
    <n v="125.3"/>
    <x v="1"/>
    <b v="1"/>
    <x v="0"/>
    <n v="96160.27"/>
    <x v="1"/>
  </r>
  <r>
    <x v="17"/>
    <x v="1"/>
    <n v="34.21"/>
    <x v="0"/>
    <x v="1"/>
    <x v="1"/>
    <x v="557"/>
    <n v="118.4"/>
    <x v="3"/>
    <b v="0"/>
    <x v="0"/>
    <n v="152367.45000000001"/>
    <x v="1"/>
  </r>
  <r>
    <x v="23"/>
    <x v="0"/>
    <n v="34.104999999999997"/>
    <x v="2"/>
    <x v="0"/>
    <x v="2"/>
    <x v="558"/>
    <n v="120.8"/>
    <x v="2"/>
    <b v="1"/>
    <x v="1"/>
    <n v="50976.45"/>
    <x v="1"/>
  </r>
  <r>
    <x v="0"/>
    <x v="1"/>
    <n v="35.53"/>
    <x v="0"/>
    <x v="1"/>
    <x v="2"/>
    <x v="559"/>
    <n v="130.5"/>
    <x v="3"/>
    <b v="1"/>
    <x v="0"/>
    <n v="176155.32"/>
    <x v="0"/>
  </r>
  <r>
    <x v="6"/>
    <x v="0"/>
    <n v="19.95"/>
    <x v="3"/>
    <x v="1"/>
    <x v="2"/>
    <x v="560"/>
    <n v="112.3"/>
    <x v="3"/>
    <b v="0"/>
    <x v="0"/>
    <n v="62580"/>
    <x v="1"/>
  </r>
  <r>
    <x v="41"/>
    <x v="0"/>
    <n v="32.68"/>
    <x v="0"/>
    <x v="1"/>
    <x v="3"/>
    <x v="561"/>
    <n v="119.6"/>
    <x v="0"/>
    <b v="1"/>
    <x v="2"/>
    <n v="30137.71"/>
    <x v="2"/>
  </r>
  <r>
    <x v="13"/>
    <x v="1"/>
    <n v="30.5"/>
    <x v="0"/>
    <x v="1"/>
    <x v="0"/>
    <x v="562"/>
    <n v="121.2"/>
    <x v="1"/>
    <b v="0"/>
    <x v="1"/>
    <n v="174588.76"/>
    <x v="0"/>
  </r>
  <r>
    <x v="46"/>
    <x v="1"/>
    <n v="44.77"/>
    <x v="1"/>
    <x v="1"/>
    <x v="1"/>
    <x v="563"/>
    <n v="130.6"/>
    <x v="2"/>
    <b v="0"/>
    <x v="1"/>
    <n v="94061.88"/>
    <x v="1"/>
  </r>
  <r>
    <x v="1"/>
    <x v="0"/>
    <n v="32.119999999999997"/>
    <x v="3"/>
    <x v="1"/>
    <x v="1"/>
    <x v="564"/>
    <n v="134.4"/>
    <x v="0"/>
    <b v="1"/>
    <x v="1"/>
    <n v="62615.21"/>
    <x v="0"/>
  </r>
  <r>
    <x v="0"/>
    <x v="0"/>
    <n v="30.495000000000001"/>
    <x v="0"/>
    <x v="1"/>
    <x v="2"/>
    <x v="565"/>
    <n v="127"/>
    <x v="1"/>
    <b v="0"/>
    <x v="2"/>
    <n v="181353.69"/>
    <x v="0"/>
  </r>
  <r>
    <x v="26"/>
    <x v="0"/>
    <n v="40.564999999999998"/>
    <x v="1"/>
    <x v="1"/>
    <x v="2"/>
    <x v="566"/>
    <n v="126.3"/>
    <x v="1"/>
    <b v="1"/>
    <x v="1"/>
    <n v="188927.82"/>
    <x v="1"/>
  </r>
  <r>
    <x v="25"/>
    <x v="1"/>
    <n v="30.59"/>
    <x v="3"/>
    <x v="1"/>
    <x v="2"/>
    <x v="567"/>
    <n v="110.5"/>
    <x v="1"/>
    <b v="1"/>
    <x v="2"/>
    <n v="89340.08"/>
    <x v="1"/>
  </r>
  <r>
    <x v="42"/>
    <x v="0"/>
    <n v="31.9"/>
    <x v="4"/>
    <x v="1"/>
    <x v="0"/>
    <x v="568"/>
    <n v="130.30000000000001"/>
    <x v="2"/>
    <b v="1"/>
    <x v="1"/>
    <n v="74735.73"/>
    <x v="1"/>
  </r>
  <r>
    <x v="29"/>
    <x v="1"/>
    <n v="40.564999999999998"/>
    <x v="3"/>
    <x v="0"/>
    <x v="2"/>
    <x v="569"/>
    <n v="120.5"/>
    <x v="1"/>
    <b v="0"/>
    <x v="2"/>
    <n v="170343.76"/>
    <x v="1"/>
  </r>
  <r>
    <x v="5"/>
    <x v="0"/>
    <n v="29.1"/>
    <x v="0"/>
    <x v="1"/>
    <x v="0"/>
    <x v="570"/>
    <n v="134.9"/>
    <x v="2"/>
    <b v="0"/>
    <x v="1"/>
    <n v="62469.27"/>
    <x v="1"/>
  </r>
  <r>
    <x v="1"/>
    <x v="0"/>
    <n v="37.29"/>
    <x v="1"/>
    <x v="1"/>
    <x v="1"/>
    <x v="571"/>
    <n v="122.6"/>
    <x v="0"/>
    <b v="1"/>
    <x v="1"/>
    <n v="33952.699999999997"/>
    <x v="0"/>
  </r>
  <r>
    <x v="16"/>
    <x v="0"/>
    <n v="43.12"/>
    <x v="3"/>
    <x v="1"/>
    <x v="1"/>
    <x v="572"/>
    <n v="132.19999999999999"/>
    <x v="3"/>
    <b v="1"/>
    <x v="0"/>
    <n v="178975.76"/>
    <x v="1"/>
  </r>
  <r>
    <x v="10"/>
    <x v="0"/>
    <n v="36.86"/>
    <x v="1"/>
    <x v="1"/>
    <x v="3"/>
    <x v="573"/>
    <n v="126"/>
    <x v="1"/>
    <b v="0"/>
    <x v="0"/>
    <n v="170484.24"/>
    <x v="2"/>
  </r>
  <r>
    <x v="38"/>
    <x v="0"/>
    <n v="34.295000000000002"/>
    <x v="3"/>
    <x v="1"/>
    <x v="3"/>
    <x v="574"/>
    <n v="131.80000000000001"/>
    <x v="0"/>
    <b v="1"/>
    <x v="0"/>
    <n v="172963.69"/>
    <x v="2"/>
  </r>
  <r>
    <x v="31"/>
    <x v="0"/>
    <n v="27.17"/>
    <x v="0"/>
    <x v="1"/>
    <x v="2"/>
    <x v="575"/>
    <n v="111.7"/>
    <x v="2"/>
    <b v="0"/>
    <x v="2"/>
    <n v="56625.52"/>
    <x v="2"/>
  </r>
  <r>
    <x v="21"/>
    <x v="1"/>
    <n v="26.84"/>
    <x v="0"/>
    <x v="1"/>
    <x v="1"/>
    <x v="576"/>
    <n v="129.30000000000001"/>
    <x v="1"/>
    <b v="1"/>
    <x v="1"/>
    <n v="91551.97"/>
    <x v="0"/>
  </r>
  <r>
    <x v="5"/>
    <x v="0"/>
    <n v="38.094999999999999"/>
    <x v="1"/>
    <x v="0"/>
    <x v="3"/>
    <x v="577"/>
    <n v="113.4"/>
    <x v="3"/>
    <b v="0"/>
    <x v="1"/>
    <n v="186958.83"/>
    <x v="1"/>
  </r>
  <r>
    <x v="14"/>
    <x v="1"/>
    <n v="30.2"/>
    <x v="1"/>
    <x v="1"/>
    <x v="0"/>
    <x v="578"/>
    <n v="125.8"/>
    <x v="0"/>
    <b v="1"/>
    <x v="1"/>
    <n v="122694.76"/>
    <x v="2"/>
  </r>
  <r>
    <x v="9"/>
    <x v="0"/>
    <n v="23.465"/>
    <x v="0"/>
    <x v="1"/>
    <x v="3"/>
    <x v="579"/>
    <n v="126.4"/>
    <x v="1"/>
    <b v="1"/>
    <x v="1"/>
    <n v="143893.34"/>
    <x v="0"/>
  </r>
  <r>
    <x v="18"/>
    <x v="1"/>
    <n v="25.46"/>
    <x v="1"/>
    <x v="1"/>
    <x v="3"/>
    <x v="580"/>
    <n v="128.5"/>
    <x v="1"/>
    <b v="0"/>
    <x v="1"/>
    <n v="40517.26"/>
    <x v="2"/>
  </r>
  <r>
    <x v="0"/>
    <x v="1"/>
    <n v="30.59"/>
    <x v="0"/>
    <x v="1"/>
    <x v="2"/>
    <x v="195"/>
    <n v="135.5"/>
    <x v="1"/>
    <b v="1"/>
    <x v="0"/>
    <n v="78211.990000000005"/>
    <x v="0"/>
  </r>
  <r>
    <x v="11"/>
    <x v="1"/>
    <n v="45.43"/>
    <x v="3"/>
    <x v="1"/>
    <x v="1"/>
    <x v="581"/>
    <n v="116.8"/>
    <x v="3"/>
    <b v="0"/>
    <x v="2"/>
    <n v="199189.86"/>
    <x v="1"/>
  </r>
  <r>
    <x v="4"/>
    <x v="0"/>
    <n v="23.65"/>
    <x v="1"/>
    <x v="1"/>
    <x v="1"/>
    <x v="582"/>
    <n v="139.80000000000001"/>
    <x v="1"/>
    <b v="0"/>
    <x v="1"/>
    <n v="77879.19"/>
    <x v="1"/>
  </r>
  <r>
    <x v="0"/>
    <x v="1"/>
    <n v="20.7"/>
    <x v="0"/>
    <x v="1"/>
    <x v="0"/>
    <x v="583"/>
    <n v="112.1"/>
    <x v="2"/>
    <b v="1"/>
    <x v="2"/>
    <n v="41009.86"/>
    <x v="0"/>
  </r>
  <r>
    <x v="3"/>
    <x v="0"/>
    <n v="28.27"/>
    <x v="1"/>
    <x v="1"/>
    <x v="1"/>
    <x v="584"/>
    <n v="130.1"/>
    <x v="1"/>
    <b v="0"/>
    <x v="2"/>
    <n v="190057.72"/>
    <x v="1"/>
  </r>
  <r>
    <x v="28"/>
    <x v="1"/>
    <n v="20.234999999999999"/>
    <x v="2"/>
    <x v="1"/>
    <x v="3"/>
    <x v="585"/>
    <n v="122.2"/>
    <x v="1"/>
    <b v="1"/>
    <x v="2"/>
    <n v="142104.57"/>
    <x v="0"/>
  </r>
  <r>
    <x v="17"/>
    <x v="0"/>
    <n v="30.21"/>
    <x v="1"/>
    <x v="0"/>
    <x v="2"/>
    <x v="586"/>
    <n v="126.3"/>
    <x v="1"/>
    <b v="0"/>
    <x v="2"/>
    <n v="158433.07999999999"/>
    <x v="1"/>
  </r>
  <r>
    <x v="36"/>
    <x v="0"/>
    <n v="35.909999999999997"/>
    <x v="0"/>
    <x v="1"/>
    <x v="3"/>
    <x v="587"/>
    <n v="122.3"/>
    <x v="1"/>
    <b v="1"/>
    <x v="2"/>
    <n v="33407.67"/>
    <x v="2"/>
  </r>
  <r>
    <x v="26"/>
    <x v="0"/>
    <n v="30.69"/>
    <x v="1"/>
    <x v="1"/>
    <x v="1"/>
    <x v="588"/>
    <n v="111.8"/>
    <x v="2"/>
    <b v="1"/>
    <x v="0"/>
    <n v="112831.17"/>
    <x v="1"/>
  </r>
  <r>
    <x v="31"/>
    <x v="0"/>
    <n v="29"/>
    <x v="0"/>
    <x v="1"/>
    <x v="0"/>
    <x v="589"/>
    <n v="134.9"/>
    <x v="0"/>
    <b v="1"/>
    <x v="0"/>
    <n v="118813.55"/>
    <x v="2"/>
  </r>
  <r>
    <x v="43"/>
    <x v="1"/>
    <n v="19.57"/>
    <x v="1"/>
    <x v="1"/>
    <x v="2"/>
    <x v="590"/>
    <n v="129.9"/>
    <x v="0"/>
    <b v="1"/>
    <x v="2"/>
    <n v="50733.18"/>
    <x v="1"/>
  </r>
  <r>
    <x v="35"/>
    <x v="1"/>
    <n v="31.13"/>
    <x v="3"/>
    <x v="1"/>
    <x v="1"/>
    <x v="591"/>
    <n v="125.3"/>
    <x v="1"/>
    <b v="1"/>
    <x v="2"/>
    <n v="32676.26"/>
    <x v="0"/>
  </r>
  <r>
    <x v="28"/>
    <x v="0"/>
    <n v="21.85"/>
    <x v="1"/>
    <x v="0"/>
    <x v="3"/>
    <x v="592"/>
    <n v="128.9"/>
    <x v="3"/>
    <b v="0"/>
    <x v="1"/>
    <n v="42303.29"/>
    <x v="0"/>
  </r>
  <r>
    <x v="25"/>
    <x v="1"/>
    <n v="40.26"/>
    <x v="0"/>
    <x v="1"/>
    <x v="1"/>
    <x v="593"/>
    <n v="110.2"/>
    <x v="1"/>
    <b v="0"/>
    <x v="0"/>
    <n v="186024.27"/>
    <x v="1"/>
  </r>
  <r>
    <x v="6"/>
    <x v="0"/>
    <n v="33.725000000000001"/>
    <x v="1"/>
    <x v="1"/>
    <x v="3"/>
    <x v="594"/>
    <n v="111.8"/>
    <x v="3"/>
    <b v="1"/>
    <x v="1"/>
    <n v="194926.71"/>
    <x v="1"/>
  </r>
  <r>
    <x v="45"/>
    <x v="0"/>
    <n v="29.48"/>
    <x v="3"/>
    <x v="1"/>
    <x v="1"/>
    <x v="595"/>
    <n v="128.19999999999999"/>
    <x v="2"/>
    <b v="1"/>
    <x v="2"/>
    <n v="160319.78"/>
    <x v="1"/>
  </r>
  <r>
    <x v="17"/>
    <x v="0"/>
    <n v="33.25"/>
    <x v="1"/>
    <x v="1"/>
    <x v="3"/>
    <x v="596"/>
    <n v="122.2"/>
    <x v="3"/>
    <b v="1"/>
    <x v="1"/>
    <n v="171488.14"/>
    <x v="1"/>
  </r>
  <r>
    <x v="33"/>
    <x v="1"/>
    <n v="32.6"/>
    <x v="3"/>
    <x v="1"/>
    <x v="0"/>
    <x v="597"/>
    <n v="116.1"/>
    <x v="0"/>
    <b v="1"/>
    <x v="0"/>
    <n v="80157.259999999995"/>
    <x v="1"/>
  </r>
  <r>
    <x v="14"/>
    <x v="0"/>
    <n v="37.524999999999999"/>
    <x v="3"/>
    <x v="1"/>
    <x v="2"/>
    <x v="598"/>
    <n v="113.2"/>
    <x v="3"/>
    <b v="1"/>
    <x v="0"/>
    <n v="191242.31"/>
    <x v="2"/>
  </r>
  <r>
    <x v="1"/>
    <x v="0"/>
    <n v="39.159999999999997"/>
    <x v="0"/>
    <x v="1"/>
    <x v="1"/>
    <x v="599"/>
    <n v="121.6"/>
    <x v="0"/>
    <b v="0"/>
    <x v="2"/>
    <n v="130708.72"/>
    <x v="0"/>
  </r>
  <r>
    <x v="44"/>
    <x v="1"/>
    <n v="31.635000000000002"/>
    <x v="0"/>
    <x v="1"/>
    <x v="2"/>
    <x v="600"/>
    <n v="119.4"/>
    <x v="3"/>
    <b v="0"/>
    <x v="1"/>
    <n v="150901.43"/>
    <x v="2"/>
  </r>
  <r>
    <x v="12"/>
    <x v="0"/>
    <n v="25.3"/>
    <x v="0"/>
    <x v="1"/>
    <x v="0"/>
    <x v="601"/>
    <n v="139.80000000000001"/>
    <x v="2"/>
    <b v="1"/>
    <x v="1"/>
    <n v="73286.679999999993"/>
    <x v="2"/>
  </r>
  <r>
    <x v="34"/>
    <x v="0"/>
    <n v="39.049999999999997"/>
    <x v="2"/>
    <x v="1"/>
    <x v="1"/>
    <x v="602"/>
    <n v="129.69999999999999"/>
    <x v="1"/>
    <b v="0"/>
    <x v="1"/>
    <n v="101847.4"/>
    <x v="2"/>
  </r>
  <r>
    <x v="0"/>
    <x v="0"/>
    <n v="28.31"/>
    <x v="0"/>
    <x v="0"/>
    <x v="2"/>
    <x v="603"/>
    <n v="126.3"/>
    <x v="0"/>
    <b v="0"/>
    <x v="1"/>
    <n v="162209.82999999999"/>
    <x v="0"/>
  </r>
  <r>
    <x v="44"/>
    <x v="0"/>
    <n v="34.1"/>
    <x v="0"/>
    <x v="1"/>
    <x v="1"/>
    <x v="604"/>
    <n v="122.1"/>
    <x v="2"/>
    <b v="0"/>
    <x v="2"/>
    <n v="62311.54"/>
    <x v="2"/>
  </r>
  <r>
    <x v="13"/>
    <x v="0"/>
    <n v="25.175000000000001"/>
    <x v="0"/>
    <x v="1"/>
    <x v="3"/>
    <x v="605"/>
    <n v="117.5"/>
    <x v="0"/>
    <b v="1"/>
    <x v="1"/>
    <n v="77948.36"/>
    <x v="0"/>
  </r>
  <r>
    <x v="18"/>
    <x v="0"/>
    <n v="23.655000000000001"/>
    <x v="0"/>
    <x v="0"/>
    <x v="2"/>
    <x v="606"/>
    <n v="131"/>
    <x v="2"/>
    <b v="1"/>
    <x v="1"/>
    <n v="75441.990000000005"/>
    <x v="2"/>
  </r>
  <r>
    <x v="2"/>
    <x v="1"/>
    <n v="26.98"/>
    <x v="3"/>
    <x v="1"/>
    <x v="3"/>
    <x v="607"/>
    <n v="137.5"/>
    <x v="1"/>
    <b v="1"/>
    <x v="0"/>
    <n v="53258.16"/>
    <x v="0"/>
  </r>
  <r>
    <x v="16"/>
    <x v="1"/>
    <n v="37.799999999999997"/>
    <x v="3"/>
    <x v="0"/>
    <x v="0"/>
    <x v="608"/>
    <n v="124.2"/>
    <x v="3"/>
    <b v="1"/>
    <x v="0"/>
    <n v="84203.87"/>
    <x v="1"/>
  </r>
  <r>
    <x v="43"/>
    <x v="0"/>
    <n v="29.37"/>
    <x v="1"/>
    <x v="1"/>
    <x v="1"/>
    <x v="609"/>
    <n v="114.7"/>
    <x v="3"/>
    <b v="1"/>
    <x v="2"/>
    <n v="117145.94"/>
    <x v="1"/>
  </r>
  <r>
    <x v="26"/>
    <x v="0"/>
    <n v="34.799999999999997"/>
    <x v="3"/>
    <x v="1"/>
    <x v="0"/>
    <x v="610"/>
    <n v="114"/>
    <x v="2"/>
    <b v="0"/>
    <x v="1"/>
    <n v="100419.67"/>
    <x v="1"/>
  </r>
  <r>
    <x v="1"/>
    <x v="0"/>
    <n v="33.155000000000001"/>
    <x v="0"/>
    <x v="1"/>
    <x v="3"/>
    <x v="611"/>
    <n v="122.3"/>
    <x v="1"/>
    <b v="0"/>
    <x v="1"/>
    <n v="147356.48000000001"/>
    <x v="0"/>
  </r>
  <r>
    <x v="17"/>
    <x v="0"/>
    <n v="19"/>
    <x v="2"/>
    <x v="1"/>
    <x v="3"/>
    <x v="612"/>
    <n v="135.80000000000001"/>
    <x v="1"/>
    <b v="0"/>
    <x v="1"/>
    <n v="117473.4"/>
    <x v="1"/>
  </r>
  <r>
    <x v="35"/>
    <x v="0"/>
    <n v="33"/>
    <x v="0"/>
    <x v="1"/>
    <x v="1"/>
    <x v="613"/>
    <n v="118.2"/>
    <x v="2"/>
    <b v="0"/>
    <x v="0"/>
    <n v="121367.8"/>
    <x v="0"/>
  </r>
  <r>
    <x v="43"/>
    <x v="0"/>
    <n v="36.630000000000003"/>
    <x v="1"/>
    <x v="0"/>
    <x v="1"/>
    <x v="614"/>
    <n v="118"/>
    <x v="3"/>
    <b v="1"/>
    <x v="1"/>
    <n v="115227.57"/>
    <x v="1"/>
  </r>
  <r>
    <x v="12"/>
    <x v="0"/>
    <n v="28.594999999999999"/>
    <x v="0"/>
    <x v="1"/>
    <x v="3"/>
    <x v="615"/>
    <n v="134.6"/>
    <x v="3"/>
    <b v="1"/>
    <x v="0"/>
    <n v="127121.19"/>
    <x v="2"/>
  </r>
  <r>
    <x v="42"/>
    <x v="1"/>
    <n v="25.6"/>
    <x v="3"/>
    <x v="0"/>
    <x v="0"/>
    <x v="616"/>
    <n v="119.2"/>
    <x v="3"/>
    <b v="1"/>
    <x v="1"/>
    <n v="126596.77"/>
    <x v="1"/>
  </r>
  <r>
    <x v="0"/>
    <x v="0"/>
    <n v="33.11"/>
    <x v="0"/>
    <x v="0"/>
    <x v="1"/>
    <x v="617"/>
    <n v="117.7"/>
    <x v="2"/>
    <b v="0"/>
    <x v="2"/>
    <n v="157802.18"/>
    <x v="0"/>
  </r>
  <r>
    <x v="20"/>
    <x v="0"/>
    <n v="37.1"/>
    <x v="0"/>
    <x v="1"/>
    <x v="0"/>
    <x v="618"/>
    <n v="130"/>
    <x v="0"/>
    <b v="0"/>
    <x v="0"/>
    <n v="139577.15"/>
    <x v="2"/>
  </r>
  <r>
    <x v="16"/>
    <x v="1"/>
    <n v="31.4"/>
    <x v="1"/>
    <x v="1"/>
    <x v="0"/>
    <x v="619"/>
    <n v="124.3"/>
    <x v="2"/>
    <b v="0"/>
    <x v="1"/>
    <n v="87454.31"/>
    <x v="1"/>
  </r>
  <r>
    <x v="7"/>
    <x v="1"/>
    <n v="34.1"/>
    <x v="5"/>
    <x v="0"/>
    <x v="0"/>
    <x v="620"/>
    <n v="119.9"/>
    <x v="3"/>
    <b v="1"/>
    <x v="0"/>
    <n v="119977.12"/>
    <x v="1"/>
  </r>
  <r>
    <x v="42"/>
    <x v="0"/>
    <n v="21.3"/>
    <x v="1"/>
    <x v="1"/>
    <x v="0"/>
    <x v="621"/>
    <n v="120.5"/>
    <x v="2"/>
    <b v="0"/>
    <x v="1"/>
    <n v="101751.77"/>
    <x v="1"/>
  </r>
  <r>
    <x v="1"/>
    <x v="1"/>
    <n v="33.534999999999997"/>
    <x v="0"/>
    <x v="0"/>
    <x v="3"/>
    <x v="622"/>
    <n v="121.8"/>
    <x v="3"/>
    <b v="0"/>
    <x v="2"/>
    <n v="93868.83"/>
    <x v="0"/>
  </r>
  <r>
    <x v="18"/>
    <x v="1"/>
    <n v="28.785"/>
    <x v="0"/>
    <x v="1"/>
    <x v="2"/>
    <x v="623"/>
    <n v="120.8"/>
    <x v="0"/>
    <b v="0"/>
    <x v="0"/>
    <n v="196499.56"/>
    <x v="2"/>
  </r>
  <r>
    <x v="39"/>
    <x v="0"/>
    <n v="26.03"/>
    <x v="0"/>
    <x v="1"/>
    <x v="2"/>
    <x v="624"/>
    <n v="135.5"/>
    <x v="3"/>
    <b v="1"/>
    <x v="2"/>
    <n v="40258.410000000003"/>
    <x v="0"/>
  </r>
  <r>
    <x v="27"/>
    <x v="1"/>
    <n v="28.88"/>
    <x v="2"/>
    <x v="1"/>
    <x v="3"/>
    <x v="625"/>
    <n v="110.4"/>
    <x v="0"/>
    <b v="0"/>
    <x v="2"/>
    <n v="69008.570000000007"/>
    <x v="1"/>
  </r>
  <r>
    <x v="3"/>
    <x v="1"/>
    <n v="42.46"/>
    <x v="1"/>
    <x v="1"/>
    <x v="1"/>
    <x v="626"/>
    <n v="139.5"/>
    <x v="1"/>
    <b v="1"/>
    <x v="2"/>
    <n v="91713.279999999999"/>
    <x v="1"/>
  </r>
  <r>
    <x v="31"/>
    <x v="1"/>
    <n v="38"/>
    <x v="0"/>
    <x v="1"/>
    <x v="0"/>
    <x v="627"/>
    <n v="113.3"/>
    <x v="1"/>
    <b v="1"/>
    <x v="0"/>
    <n v="140358.88"/>
    <x v="2"/>
  </r>
  <r>
    <x v="37"/>
    <x v="0"/>
    <n v="38.950000000000003"/>
    <x v="0"/>
    <x v="0"/>
    <x v="2"/>
    <x v="628"/>
    <n v="131.80000000000001"/>
    <x v="1"/>
    <b v="1"/>
    <x v="1"/>
    <n v="104021.2"/>
    <x v="1"/>
  </r>
  <r>
    <x v="32"/>
    <x v="1"/>
    <n v="36.1"/>
    <x v="1"/>
    <x v="1"/>
    <x v="0"/>
    <x v="629"/>
    <n v="129.5"/>
    <x v="0"/>
    <b v="0"/>
    <x v="1"/>
    <n v="144497.32"/>
    <x v="2"/>
  </r>
  <r>
    <x v="24"/>
    <x v="1"/>
    <n v="29.3"/>
    <x v="0"/>
    <x v="1"/>
    <x v="0"/>
    <x v="630"/>
    <n v="119.1"/>
    <x v="3"/>
    <b v="0"/>
    <x v="0"/>
    <n v="43810.25"/>
    <x v="0"/>
  </r>
  <r>
    <x v="39"/>
    <x v="0"/>
    <n v="35.53"/>
    <x v="0"/>
    <x v="1"/>
    <x v="1"/>
    <x v="631"/>
    <n v="116.3"/>
    <x v="2"/>
    <b v="1"/>
    <x v="1"/>
    <n v="159536.81"/>
    <x v="0"/>
  </r>
  <r>
    <x v="30"/>
    <x v="1"/>
    <n v="22.704999999999998"/>
    <x v="3"/>
    <x v="1"/>
    <x v="3"/>
    <x v="632"/>
    <n v="120.3"/>
    <x v="0"/>
    <b v="1"/>
    <x v="1"/>
    <n v="59726.98"/>
    <x v="1"/>
  </r>
  <r>
    <x v="44"/>
    <x v="1"/>
    <n v="39.700000000000003"/>
    <x v="1"/>
    <x v="1"/>
    <x v="0"/>
    <x v="633"/>
    <n v="126.5"/>
    <x v="1"/>
    <b v="1"/>
    <x v="0"/>
    <n v="59943.25"/>
    <x v="2"/>
  </r>
  <r>
    <x v="34"/>
    <x v="1"/>
    <n v="38.19"/>
    <x v="0"/>
    <x v="1"/>
    <x v="3"/>
    <x v="634"/>
    <n v="135.80000000000001"/>
    <x v="1"/>
    <b v="0"/>
    <x v="2"/>
    <n v="48916.639999999999"/>
    <x v="2"/>
  </r>
  <r>
    <x v="0"/>
    <x v="0"/>
    <n v="24.51"/>
    <x v="1"/>
    <x v="1"/>
    <x v="2"/>
    <x v="635"/>
    <n v="132.6"/>
    <x v="0"/>
    <b v="1"/>
    <x v="1"/>
    <n v="57922.46"/>
    <x v="0"/>
  </r>
  <r>
    <x v="23"/>
    <x v="0"/>
    <n v="38.094999999999999"/>
    <x v="3"/>
    <x v="1"/>
    <x v="3"/>
    <x v="636"/>
    <n v="119.3"/>
    <x v="1"/>
    <b v="1"/>
    <x v="1"/>
    <n v="46912.11"/>
    <x v="1"/>
  </r>
  <r>
    <x v="11"/>
    <x v="1"/>
    <n v="26.41"/>
    <x v="0"/>
    <x v="0"/>
    <x v="3"/>
    <x v="637"/>
    <n v="110.3"/>
    <x v="0"/>
    <b v="1"/>
    <x v="0"/>
    <n v="33019.620000000003"/>
    <x v="1"/>
  </r>
  <r>
    <x v="12"/>
    <x v="1"/>
    <n v="33.659999999999997"/>
    <x v="5"/>
    <x v="1"/>
    <x v="1"/>
    <x v="638"/>
    <n v="122.1"/>
    <x v="2"/>
    <b v="1"/>
    <x v="2"/>
    <n v="88134.24"/>
    <x v="2"/>
  </r>
  <r>
    <x v="3"/>
    <x v="1"/>
    <n v="42.4"/>
    <x v="4"/>
    <x v="1"/>
    <x v="0"/>
    <x v="639"/>
    <n v="130.80000000000001"/>
    <x v="0"/>
    <b v="1"/>
    <x v="0"/>
    <n v="116194.44"/>
    <x v="1"/>
  </r>
  <r>
    <x v="45"/>
    <x v="1"/>
    <n v="28.31"/>
    <x v="2"/>
    <x v="0"/>
    <x v="2"/>
    <x v="640"/>
    <n v="127.6"/>
    <x v="2"/>
    <b v="0"/>
    <x v="1"/>
    <n v="65038.080000000002"/>
    <x v="1"/>
  </r>
  <r>
    <x v="36"/>
    <x v="1"/>
    <n v="33.914999999999999"/>
    <x v="0"/>
    <x v="1"/>
    <x v="3"/>
    <x v="641"/>
    <n v="116.8"/>
    <x v="0"/>
    <b v="0"/>
    <x v="2"/>
    <n v="53363.8"/>
    <x v="2"/>
  </r>
  <r>
    <x v="15"/>
    <x v="0"/>
    <n v="34.96"/>
    <x v="2"/>
    <x v="1"/>
    <x v="2"/>
    <x v="642"/>
    <n v="129.5"/>
    <x v="2"/>
    <b v="1"/>
    <x v="0"/>
    <n v="94109.6"/>
    <x v="0"/>
  </r>
  <r>
    <x v="33"/>
    <x v="1"/>
    <n v="35.31"/>
    <x v="3"/>
    <x v="1"/>
    <x v="1"/>
    <x v="643"/>
    <n v="120.6"/>
    <x v="1"/>
    <b v="0"/>
    <x v="0"/>
    <n v="52776.94"/>
    <x v="1"/>
  </r>
  <r>
    <x v="29"/>
    <x v="1"/>
    <n v="30.78"/>
    <x v="2"/>
    <x v="1"/>
    <x v="3"/>
    <x v="644"/>
    <n v="128.1"/>
    <x v="3"/>
    <b v="1"/>
    <x v="0"/>
    <n v="77643.12"/>
    <x v="1"/>
  </r>
  <r>
    <x v="11"/>
    <x v="1"/>
    <n v="26.22"/>
    <x v="1"/>
    <x v="1"/>
    <x v="2"/>
    <x v="645"/>
    <n v="134.80000000000001"/>
    <x v="0"/>
    <b v="1"/>
    <x v="2"/>
    <n v="178293.53"/>
    <x v="1"/>
  </r>
  <r>
    <x v="30"/>
    <x v="0"/>
    <n v="23.37"/>
    <x v="2"/>
    <x v="1"/>
    <x v="3"/>
    <x v="646"/>
    <n v="122.8"/>
    <x v="2"/>
    <b v="1"/>
    <x v="0"/>
    <n v="185131.05"/>
    <x v="1"/>
  </r>
  <r>
    <x v="1"/>
    <x v="1"/>
    <n v="28.5"/>
    <x v="0"/>
    <x v="1"/>
    <x v="3"/>
    <x v="647"/>
    <n v="119"/>
    <x v="0"/>
    <b v="0"/>
    <x v="2"/>
    <n v="195205.88"/>
    <x v="0"/>
  </r>
  <r>
    <x v="31"/>
    <x v="0"/>
    <n v="32.965000000000003"/>
    <x v="0"/>
    <x v="1"/>
    <x v="3"/>
    <x v="648"/>
    <n v="113.4"/>
    <x v="2"/>
    <b v="0"/>
    <x v="0"/>
    <n v="144818.82"/>
    <x v="2"/>
  </r>
  <r>
    <x v="42"/>
    <x v="0"/>
    <n v="42.68"/>
    <x v="3"/>
    <x v="1"/>
    <x v="1"/>
    <x v="649"/>
    <n v="111.7"/>
    <x v="3"/>
    <b v="1"/>
    <x v="1"/>
    <n v="154354.9"/>
    <x v="1"/>
  </r>
  <r>
    <x v="32"/>
    <x v="0"/>
    <n v="39.6"/>
    <x v="1"/>
    <x v="1"/>
    <x v="1"/>
    <x v="650"/>
    <n v="122.8"/>
    <x v="1"/>
    <b v="0"/>
    <x v="1"/>
    <n v="117608.08"/>
    <x v="2"/>
  </r>
  <r>
    <x v="29"/>
    <x v="0"/>
    <n v="31.13"/>
    <x v="0"/>
    <x v="1"/>
    <x v="1"/>
    <x v="651"/>
    <n v="114.7"/>
    <x v="2"/>
    <b v="0"/>
    <x v="0"/>
    <n v="32717.52"/>
    <x v="1"/>
  </r>
  <r>
    <x v="40"/>
    <x v="0"/>
    <n v="36.299999999999997"/>
    <x v="3"/>
    <x v="1"/>
    <x v="1"/>
    <x v="652"/>
    <n v="121.7"/>
    <x v="3"/>
    <b v="0"/>
    <x v="1"/>
    <n v="197006.47"/>
    <x v="1"/>
  </r>
  <r>
    <x v="18"/>
    <x v="0"/>
    <n v="35.200000000000003"/>
    <x v="0"/>
    <x v="1"/>
    <x v="1"/>
    <x v="653"/>
    <n v="121.4"/>
    <x v="1"/>
    <b v="0"/>
    <x v="1"/>
    <n v="170593.86"/>
    <x v="2"/>
  </r>
  <r>
    <x v="14"/>
    <x v="0"/>
    <n v="25.3"/>
    <x v="3"/>
    <x v="0"/>
    <x v="1"/>
    <x v="654"/>
    <n v="113.8"/>
    <x v="1"/>
    <b v="0"/>
    <x v="1"/>
    <n v="157257.67000000001"/>
    <x v="2"/>
  </r>
  <r>
    <x v="22"/>
    <x v="0"/>
    <n v="42.4"/>
    <x v="1"/>
    <x v="1"/>
    <x v="0"/>
    <x v="655"/>
    <n v="122.1"/>
    <x v="3"/>
    <b v="0"/>
    <x v="2"/>
    <n v="44496.57"/>
    <x v="0"/>
  </r>
  <r>
    <x v="13"/>
    <x v="1"/>
    <n v="33.155000000000001"/>
    <x v="3"/>
    <x v="1"/>
    <x v="2"/>
    <x v="656"/>
    <n v="127.7"/>
    <x v="2"/>
    <b v="0"/>
    <x v="0"/>
    <n v="46302.13"/>
    <x v="0"/>
  </r>
  <r>
    <x v="29"/>
    <x v="0"/>
    <n v="35.909999999999997"/>
    <x v="1"/>
    <x v="1"/>
    <x v="3"/>
    <x v="657"/>
    <n v="134.69999999999999"/>
    <x v="2"/>
    <b v="1"/>
    <x v="2"/>
    <n v="181264.94"/>
    <x v="1"/>
  </r>
  <r>
    <x v="38"/>
    <x v="0"/>
    <n v="28.785"/>
    <x v="5"/>
    <x v="1"/>
    <x v="3"/>
    <x v="658"/>
    <n v="138.69999999999999"/>
    <x v="2"/>
    <b v="1"/>
    <x v="1"/>
    <n v="199869.09"/>
    <x v="2"/>
  </r>
  <r>
    <x v="7"/>
    <x v="1"/>
    <n v="46.53"/>
    <x v="2"/>
    <x v="1"/>
    <x v="1"/>
    <x v="659"/>
    <n v="115.3"/>
    <x v="2"/>
    <b v="0"/>
    <x v="1"/>
    <n v="171469.25"/>
    <x v="1"/>
  </r>
  <r>
    <x v="38"/>
    <x v="0"/>
    <n v="23.98"/>
    <x v="1"/>
    <x v="1"/>
    <x v="1"/>
    <x v="660"/>
    <n v="126.4"/>
    <x v="3"/>
    <b v="1"/>
    <x v="0"/>
    <n v="125737.61"/>
    <x v="2"/>
  </r>
  <r>
    <x v="4"/>
    <x v="0"/>
    <n v="31.54"/>
    <x v="1"/>
    <x v="1"/>
    <x v="3"/>
    <x v="661"/>
    <n v="114"/>
    <x v="0"/>
    <b v="0"/>
    <x v="1"/>
    <n v="139014.03"/>
    <x v="1"/>
  </r>
  <r>
    <x v="1"/>
    <x v="1"/>
    <n v="33.659999999999997"/>
    <x v="0"/>
    <x v="1"/>
    <x v="1"/>
    <x v="662"/>
    <n v="137"/>
    <x v="1"/>
    <b v="0"/>
    <x v="0"/>
    <n v="80071.59"/>
    <x v="0"/>
  </r>
  <r>
    <x v="34"/>
    <x v="0"/>
    <n v="22.99"/>
    <x v="0"/>
    <x v="0"/>
    <x v="1"/>
    <x v="663"/>
    <n v="113.5"/>
    <x v="2"/>
    <b v="0"/>
    <x v="2"/>
    <n v="141294.17000000001"/>
    <x v="2"/>
  </r>
  <r>
    <x v="33"/>
    <x v="1"/>
    <n v="38.06"/>
    <x v="3"/>
    <x v="0"/>
    <x v="1"/>
    <x v="664"/>
    <n v="122.5"/>
    <x v="3"/>
    <b v="0"/>
    <x v="0"/>
    <n v="62985.35"/>
    <x v="1"/>
  </r>
  <r>
    <x v="42"/>
    <x v="1"/>
    <n v="28.7"/>
    <x v="1"/>
    <x v="1"/>
    <x v="0"/>
    <x v="665"/>
    <n v="118.6"/>
    <x v="3"/>
    <b v="0"/>
    <x v="2"/>
    <n v="133760.23000000001"/>
    <x v="1"/>
  </r>
  <r>
    <x v="30"/>
    <x v="0"/>
    <n v="32.774999999999999"/>
    <x v="3"/>
    <x v="0"/>
    <x v="2"/>
    <x v="666"/>
    <n v="120.6"/>
    <x v="0"/>
    <b v="0"/>
    <x v="1"/>
    <n v="121776.6"/>
    <x v="1"/>
  </r>
  <r>
    <x v="10"/>
    <x v="1"/>
    <n v="32.015000000000001"/>
    <x v="0"/>
    <x v="0"/>
    <x v="3"/>
    <x v="667"/>
    <n v="124.1"/>
    <x v="1"/>
    <b v="0"/>
    <x v="2"/>
    <n v="136255.53"/>
    <x v="2"/>
  </r>
  <r>
    <x v="30"/>
    <x v="0"/>
    <n v="29.81"/>
    <x v="1"/>
    <x v="1"/>
    <x v="1"/>
    <x v="668"/>
    <n v="117.5"/>
    <x v="2"/>
    <b v="1"/>
    <x v="1"/>
    <n v="106110.53"/>
    <x v="1"/>
  </r>
  <r>
    <x v="16"/>
    <x v="1"/>
    <n v="31.57"/>
    <x v="2"/>
    <x v="1"/>
    <x v="1"/>
    <x v="669"/>
    <n v="119.6"/>
    <x v="1"/>
    <b v="1"/>
    <x v="2"/>
    <n v="196311.43"/>
    <x v="1"/>
  </r>
  <r>
    <x v="39"/>
    <x v="0"/>
    <n v="31.16"/>
    <x v="0"/>
    <x v="1"/>
    <x v="3"/>
    <x v="670"/>
    <n v="135.30000000000001"/>
    <x v="3"/>
    <b v="0"/>
    <x v="1"/>
    <n v="184432.95"/>
    <x v="0"/>
  </r>
  <r>
    <x v="27"/>
    <x v="1"/>
    <n v="29.7"/>
    <x v="0"/>
    <x v="1"/>
    <x v="1"/>
    <x v="671"/>
    <n v="125.1"/>
    <x v="0"/>
    <b v="1"/>
    <x v="2"/>
    <n v="192669.5"/>
    <x v="1"/>
  </r>
  <r>
    <x v="25"/>
    <x v="0"/>
    <n v="31.02"/>
    <x v="0"/>
    <x v="1"/>
    <x v="1"/>
    <x v="672"/>
    <n v="111.9"/>
    <x v="3"/>
    <b v="0"/>
    <x v="1"/>
    <n v="101295.16"/>
    <x v="1"/>
  </r>
  <r>
    <x v="37"/>
    <x v="0"/>
    <n v="43.89"/>
    <x v="3"/>
    <x v="0"/>
    <x v="1"/>
    <x v="673"/>
    <n v="111.6"/>
    <x v="0"/>
    <b v="1"/>
    <x v="0"/>
    <n v="64022.57"/>
    <x v="1"/>
  </r>
  <r>
    <x v="40"/>
    <x v="1"/>
    <n v="21.375"/>
    <x v="0"/>
    <x v="1"/>
    <x v="2"/>
    <x v="674"/>
    <n v="125.6"/>
    <x v="3"/>
    <b v="1"/>
    <x v="0"/>
    <n v="40485.629999999997"/>
    <x v="1"/>
  </r>
  <r>
    <x v="20"/>
    <x v="0"/>
    <n v="40.81"/>
    <x v="2"/>
    <x v="1"/>
    <x v="1"/>
    <x v="675"/>
    <n v="115.6"/>
    <x v="1"/>
    <b v="1"/>
    <x v="1"/>
    <n v="56253.08"/>
    <x v="2"/>
  </r>
  <r>
    <x v="8"/>
    <x v="1"/>
    <n v="31.35"/>
    <x v="2"/>
    <x v="0"/>
    <x v="2"/>
    <x v="676"/>
    <n v="127.9"/>
    <x v="2"/>
    <b v="1"/>
    <x v="0"/>
    <n v="128404.48"/>
    <x v="2"/>
  </r>
  <r>
    <x v="12"/>
    <x v="1"/>
    <n v="36.1"/>
    <x v="2"/>
    <x v="1"/>
    <x v="0"/>
    <x v="677"/>
    <n v="127.5"/>
    <x v="1"/>
    <b v="0"/>
    <x v="2"/>
    <n v="131505.34"/>
    <x v="2"/>
  </r>
  <r>
    <x v="42"/>
    <x v="0"/>
    <n v="23.18"/>
    <x v="3"/>
    <x v="1"/>
    <x v="2"/>
    <x v="678"/>
    <n v="123.2"/>
    <x v="1"/>
    <b v="0"/>
    <x v="2"/>
    <n v="93032.98"/>
    <x v="1"/>
  </r>
  <r>
    <x v="28"/>
    <x v="0"/>
    <n v="17.399999999999999"/>
    <x v="1"/>
    <x v="1"/>
    <x v="0"/>
    <x v="679"/>
    <n v="119.4"/>
    <x v="0"/>
    <b v="1"/>
    <x v="2"/>
    <n v="169581.68"/>
    <x v="0"/>
  </r>
  <r>
    <x v="0"/>
    <x v="1"/>
    <n v="20.3"/>
    <x v="0"/>
    <x v="1"/>
    <x v="0"/>
    <x v="680"/>
    <n v="116.3"/>
    <x v="1"/>
    <b v="0"/>
    <x v="1"/>
    <n v="112931.84"/>
    <x v="0"/>
  </r>
  <r>
    <x v="11"/>
    <x v="1"/>
    <n v="35.299999999999997"/>
    <x v="3"/>
    <x v="0"/>
    <x v="0"/>
    <x v="681"/>
    <n v="119.7"/>
    <x v="2"/>
    <b v="0"/>
    <x v="0"/>
    <n v="104284.61"/>
    <x v="1"/>
  </r>
  <r>
    <x v="32"/>
    <x v="1"/>
    <n v="24.32"/>
    <x v="0"/>
    <x v="1"/>
    <x v="2"/>
    <x v="682"/>
    <n v="139.6"/>
    <x v="1"/>
    <b v="1"/>
    <x v="1"/>
    <n v="37961.97"/>
    <x v="2"/>
  </r>
  <r>
    <x v="3"/>
    <x v="0"/>
    <n v="18.5"/>
    <x v="1"/>
    <x v="1"/>
    <x v="0"/>
    <x v="683"/>
    <n v="131.6"/>
    <x v="1"/>
    <b v="1"/>
    <x v="1"/>
    <n v="101521.44"/>
    <x v="1"/>
  </r>
  <r>
    <x v="32"/>
    <x v="1"/>
    <n v="26.41"/>
    <x v="3"/>
    <x v="1"/>
    <x v="3"/>
    <x v="684"/>
    <n v="131.9"/>
    <x v="0"/>
    <b v="0"/>
    <x v="0"/>
    <n v="131226.07999999999"/>
    <x v="2"/>
  </r>
  <r>
    <x v="45"/>
    <x v="1"/>
    <n v="26.125"/>
    <x v="3"/>
    <x v="1"/>
    <x v="3"/>
    <x v="685"/>
    <n v="131.9"/>
    <x v="1"/>
    <b v="0"/>
    <x v="1"/>
    <n v="64126.42"/>
    <x v="1"/>
  </r>
  <r>
    <x v="30"/>
    <x v="1"/>
    <n v="41.69"/>
    <x v="0"/>
    <x v="1"/>
    <x v="1"/>
    <x v="686"/>
    <n v="138.5"/>
    <x v="0"/>
    <b v="0"/>
    <x v="2"/>
    <n v="81538.31"/>
    <x v="1"/>
  </r>
  <r>
    <x v="43"/>
    <x v="0"/>
    <n v="24.1"/>
    <x v="1"/>
    <x v="1"/>
    <x v="0"/>
    <x v="687"/>
    <n v="111.9"/>
    <x v="2"/>
    <b v="1"/>
    <x v="1"/>
    <n v="199819.77"/>
    <x v="1"/>
  </r>
  <r>
    <x v="13"/>
    <x v="1"/>
    <n v="31.13"/>
    <x v="1"/>
    <x v="0"/>
    <x v="1"/>
    <x v="688"/>
    <n v="127.4"/>
    <x v="0"/>
    <b v="0"/>
    <x v="0"/>
    <n v="185084.77"/>
    <x v="0"/>
  </r>
  <r>
    <x v="28"/>
    <x v="1"/>
    <n v="27.36"/>
    <x v="0"/>
    <x v="1"/>
    <x v="3"/>
    <x v="689"/>
    <n v="132.19999999999999"/>
    <x v="1"/>
    <b v="0"/>
    <x v="0"/>
    <n v="163951.93"/>
    <x v="0"/>
  </r>
  <r>
    <x v="43"/>
    <x v="1"/>
    <n v="36.200000000000003"/>
    <x v="1"/>
    <x v="1"/>
    <x v="0"/>
    <x v="690"/>
    <n v="131"/>
    <x v="3"/>
    <b v="1"/>
    <x v="0"/>
    <n v="122000.52"/>
    <x v="1"/>
  </r>
  <r>
    <x v="35"/>
    <x v="1"/>
    <n v="32.395000000000003"/>
    <x v="1"/>
    <x v="1"/>
    <x v="2"/>
    <x v="691"/>
    <n v="114.6"/>
    <x v="3"/>
    <b v="0"/>
    <x v="1"/>
    <n v="92190.21"/>
    <x v="0"/>
  </r>
  <r>
    <x v="24"/>
    <x v="1"/>
    <n v="23.655000000000001"/>
    <x v="0"/>
    <x v="1"/>
    <x v="2"/>
    <x v="692"/>
    <n v="112.7"/>
    <x v="0"/>
    <b v="0"/>
    <x v="0"/>
    <n v="133366.82999999999"/>
    <x v="0"/>
  </r>
  <r>
    <x v="13"/>
    <x v="0"/>
    <n v="34.799999999999997"/>
    <x v="1"/>
    <x v="1"/>
    <x v="0"/>
    <x v="693"/>
    <n v="119.5"/>
    <x v="3"/>
    <b v="1"/>
    <x v="0"/>
    <n v="86607.43"/>
    <x v="0"/>
  </r>
  <r>
    <x v="22"/>
    <x v="0"/>
    <n v="40.185000000000002"/>
    <x v="0"/>
    <x v="1"/>
    <x v="2"/>
    <x v="694"/>
    <n v="119.8"/>
    <x v="0"/>
    <b v="0"/>
    <x v="2"/>
    <n v="65061.34"/>
    <x v="0"/>
  </r>
  <r>
    <x v="32"/>
    <x v="0"/>
    <n v="32.299999999999997"/>
    <x v="3"/>
    <x v="1"/>
    <x v="3"/>
    <x v="695"/>
    <n v="133.80000000000001"/>
    <x v="3"/>
    <b v="1"/>
    <x v="1"/>
    <n v="76255.12"/>
    <x v="2"/>
  </r>
  <r>
    <x v="25"/>
    <x v="1"/>
    <n v="35.75"/>
    <x v="1"/>
    <x v="0"/>
    <x v="1"/>
    <x v="696"/>
    <n v="120.6"/>
    <x v="3"/>
    <b v="0"/>
    <x v="1"/>
    <n v="153293.32999999999"/>
    <x v="1"/>
  </r>
  <r>
    <x v="12"/>
    <x v="1"/>
    <n v="33.725000000000001"/>
    <x v="0"/>
    <x v="1"/>
    <x v="2"/>
    <x v="697"/>
    <n v="114"/>
    <x v="2"/>
    <b v="0"/>
    <x v="0"/>
    <n v="65300.37"/>
    <x v="2"/>
  </r>
  <r>
    <x v="15"/>
    <x v="0"/>
    <n v="39.270000000000003"/>
    <x v="3"/>
    <x v="1"/>
    <x v="1"/>
    <x v="698"/>
    <n v="120.8"/>
    <x v="2"/>
    <b v="1"/>
    <x v="1"/>
    <n v="121971.24"/>
    <x v="0"/>
  </r>
  <r>
    <x v="28"/>
    <x v="0"/>
    <n v="34.869999999999997"/>
    <x v="0"/>
    <x v="1"/>
    <x v="1"/>
    <x v="699"/>
    <n v="123.5"/>
    <x v="1"/>
    <b v="0"/>
    <x v="2"/>
    <n v="67826.97"/>
    <x v="0"/>
  </r>
  <r>
    <x v="46"/>
    <x v="0"/>
    <n v="44.744999999999997"/>
    <x v="0"/>
    <x v="1"/>
    <x v="3"/>
    <x v="700"/>
    <n v="121.5"/>
    <x v="3"/>
    <b v="0"/>
    <x v="1"/>
    <n v="193820.52"/>
    <x v="1"/>
  </r>
  <r>
    <x v="32"/>
    <x v="1"/>
    <n v="41.47"/>
    <x v="0"/>
    <x v="1"/>
    <x v="1"/>
    <x v="701"/>
    <n v="123.7"/>
    <x v="2"/>
    <b v="1"/>
    <x v="2"/>
    <n v="51199.46"/>
    <x v="2"/>
  </r>
  <r>
    <x v="17"/>
    <x v="0"/>
    <n v="26.41"/>
    <x v="1"/>
    <x v="1"/>
    <x v="2"/>
    <x v="702"/>
    <n v="135.5"/>
    <x v="0"/>
    <b v="1"/>
    <x v="2"/>
    <n v="94337.31"/>
    <x v="1"/>
  </r>
  <r>
    <x v="43"/>
    <x v="0"/>
    <n v="29.545000000000002"/>
    <x v="1"/>
    <x v="1"/>
    <x v="2"/>
    <x v="703"/>
    <n v="135.6"/>
    <x v="2"/>
    <b v="1"/>
    <x v="2"/>
    <n v="60884.88"/>
    <x v="1"/>
  </r>
  <r>
    <x v="3"/>
    <x v="0"/>
    <n v="32.9"/>
    <x v="3"/>
    <x v="1"/>
    <x v="0"/>
    <x v="704"/>
    <n v="127.6"/>
    <x v="1"/>
    <b v="0"/>
    <x v="1"/>
    <n v="65453.64"/>
    <x v="1"/>
  </r>
  <r>
    <x v="44"/>
    <x v="0"/>
    <n v="38.06"/>
    <x v="0"/>
    <x v="0"/>
    <x v="1"/>
    <x v="705"/>
    <n v="113.9"/>
    <x v="3"/>
    <b v="0"/>
    <x v="0"/>
    <n v="73604.78"/>
    <x v="2"/>
  </r>
  <r>
    <x v="42"/>
    <x v="1"/>
    <n v="28.69"/>
    <x v="2"/>
    <x v="1"/>
    <x v="2"/>
    <x v="706"/>
    <n v="125.9"/>
    <x v="1"/>
    <b v="1"/>
    <x v="1"/>
    <n v="46851.02"/>
    <x v="1"/>
  </r>
  <r>
    <x v="5"/>
    <x v="0"/>
    <n v="30.495000000000001"/>
    <x v="2"/>
    <x v="1"/>
    <x v="3"/>
    <x v="707"/>
    <n v="115.5"/>
    <x v="0"/>
    <b v="0"/>
    <x v="0"/>
    <n v="156016.21"/>
    <x v="1"/>
  </r>
  <r>
    <x v="27"/>
    <x v="0"/>
    <n v="27.74"/>
    <x v="0"/>
    <x v="1"/>
    <x v="3"/>
    <x v="708"/>
    <n v="138.6"/>
    <x v="0"/>
    <b v="0"/>
    <x v="1"/>
    <n v="175325.65"/>
    <x v="1"/>
  </r>
  <r>
    <x v="1"/>
    <x v="1"/>
    <n v="35.200000000000003"/>
    <x v="1"/>
    <x v="1"/>
    <x v="1"/>
    <x v="709"/>
    <n v="139.69999999999999"/>
    <x v="2"/>
    <b v="0"/>
    <x v="1"/>
    <n v="42980.78"/>
    <x v="0"/>
  </r>
  <r>
    <x v="46"/>
    <x v="0"/>
    <n v="23.54"/>
    <x v="3"/>
    <x v="1"/>
    <x v="1"/>
    <x v="710"/>
    <n v="133.69999999999999"/>
    <x v="3"/>
    <b v="1"/>
    <x v="1"/>
    <n v="128306.82"/>
    <x v="1"/>
  </r>
  <r>
    <x v="33"/>
    <x v="0"/>
    <n v="30.684999999999999"/>
    <x v="3"/>
    <x v="1"/>
    <x v="2"/>
    <x v="711"/>
    <n v="131.1"/>
    <x v="3"/>
    <b v="0"/>
    <x v="1"/>
    <n v="48784.62"/>
    <x v="1"/>
  </r>
  <r>
    <x v="35"/>
    <x v="1"/>
    <n v="40.47"/>
    <x v="0"/>
    <x v="1"/>
    <x v="3"/>
    <x v="712"/>
    <n v="115.6"/>
    <x v="3"/>
    <b v="1"/>
    <x v="0"/>
    <n v="72314.83"/>
    <x v="0"/>
  </r>
  <r>
    <x v="24"/>
    <x v="0"/>
    <n v="22.6"/>
    <x v="0"/>
    <x v="1"/>
    <x v="0"/>
    <x v="713"/>
    <n v="126.7"/>
    <x v="0"/>
    <b v="0"/>
    <x v="1"/>
    <n v="70404.84"/>
    <x v="0"/>
  </r>
  <r>
    <x v="8"/>
    <x v="1"/>
    <n v="28.9"/>
    <x v="0"/>
    <x v="1"/>
    <x v="0"/>
    <x v="714"/>
    <n v="127.1"/>
    <x v="1"/>
    <b v="1"/>
    <x v="1"/>
    <n v="101081.81"/>
    <x v="2"/>
  </r>
  <r>
    <x v="42"/>
    <x v="0"/>
    <n v="22.61"/>
    <x v="1"/>
    <x v="1"/>
    <x v="2"/>
    <x v="715"/>
    <n v="133.30000000000001"/>
    <x v="3"/>
    <b v="0"/>
    <x v="1"/>
    <n v="49693.89"/>
    <x v="1"/>
  </r>
  <r>
    <x v="8"/>
    <x v="1"/>
    <n v="24.32"/>
    <x v="1"/>
    <x v="1"/>
    <x v="2"/>
    <x v="716"/>
    <n v="137.9"/>
    <x v="3"/>
    <b v="1"/>
    <x v="2"/>
    <n v="63941.23"/>
    <x v="2"/>
  </r>
  <r>
    <x v="44"/>
    <x v="0"/>
    <n v="36.67"/>
    <x v="3"/>
    <x v="1"/>
    <x v="2"/>
    <x v="717"/>
    <n v="116.4"/>
    <x v="2"/>
    <b v="0"/>
    <x v="0"/>
    <n v="151210.37"/>
    <x v="2"/>
  </r>
  <r>
    <x v="31"/>
    <x v="0"/>
    <n v="33.44"/>
    <x v="0"/>
    <x v="1"/>
    <x v="2"/>
    <x v="718"/>
    <n v="117.2"/>
    <x v="3"/>
    <b v="1"/>
    <x v="2"/>
    <n v="152373.09"/>
    <x v="2"/>
  </r>
  <r>
    <x v="44"/>
    <x v="0"/>
    <n v="40.659999999999997"/>
    <x v="0"/>
    <x v="1"/>
    <x v="3"/>
    <x v="719"/>
    <n v="115.7"/>
    <x v="3"/>
    <b v="0"/>
    <x v="0"/>
    <n v="81110.05"/>
    <x v="2"/>
  </r>
  <r>
    <x v="32"/>
    <x v="1"/>
    <n v="36.6"/>
    <x v="2"/>
    <x v="1"/>
    <x v="0"/>
    <x v="720"/>
    <n v="130.30000000000001"/>
    <x v="2"/>
    <b v="0"/>
    <x v="0"/>
    <n v="195941.31"/>
    <x v="2"/>
  </r>
  <r>
    <x v="10"/>
    <x v="1"/>
    <n v="37.4"/>
    <x v="0"/>
    <x v="1"/>
    <x v="0"/>
    <x v="721"/>
    <n v="111.5"/>
    <x v="3"/>
    <b v="1"/>
    <x v="0"/>
    <n v="92593.82"/>
    <x v="2"/>
  </r>
  <r>
    <x v="0"/>
    <x v="1"/>
    <n v="35.4"/>
    <x v="0"/>
    <x v="1"/>
    <x v="0"/>
    <x v="722"/>
    <n v="118.2"/>
    <x v="1"/>
    <b v="0"/>
    <x v="1"/>
    <n v="127969.52"/>
    <x v="0"/>
  </r>
  <r>
    <x v="46"/>
    <x v="0"/>
    <n v="27.074999999999999"/>
    <x v="1"/>
    <x v="1"/>
    <x v="3"/>
    <x v="723"/>
    <n v="129.30000000000001"/>
    <x v="3"/>
    <b v="0"/>
    <x v="1"/>
    <n v="176592.49"/>
    <x v="1"/>
  </r>
  <r>
    <x v="16"/>
    <x v="0"/>
    <n v="39.049999999999997"/>
    <x v="2"/>
    <x v="0"/>
    <x v="1"/>
    <x v="724"/>
    <n v="137.9"/>
    <x v="2"/>
    <b v="1"/>
    <x v="1"/>
    <n v="94859.69"/>
    <x v="1"/>
  </r>
  <r>
    <x v="25"/>
    <x v="1"/>
    <n v="28.405000000000001"/>
    <x v="1"/>
    <x v="1"/>
    <x v="2"/>
    <x v="725"/>
    <n v="117"/>
    <x v="3"/>
    <b v="1"/>
    <x v="0"/>
    <n v="103804.16"/>
    <x v="1"/>
  </r>
  <r>
    <x v="39"/>
    <x v="0"/>
    <n v="21.754999999999999"/>
    <x v="1"/>
    <x v="0"/>
    <x v="3"/>
    <x v="726"/>
    <n v="119.8"/>
    <x v="3"/>
    <b v="0"/>
    <x v="1"/>
    <n v="120887.21"/>
    <x v="0"/>
  </r>
  <r>
    <x v="1"/>
    <x v="0"/>
    <n v="40.28"/>
    <x v="0"/>
    <x v="1"/>
    <x v="3"/>
    <x v="727"/>
    <n v="119.3"/>
    <x v="3"/>
    <b v="1"/>
    <x v="0"/>
    <n v="50621.32"/>
    <x v="0"/>
  </r>
  <r>
    <x v="25"/>
    <x v="0"/>
    <n v="36.08"/>
    <x v="1"/>
    <x v="1"/>
    <x v="1"/>
    <x v="728"/>
    <n v="127"/>
    <x v="1"/>
    <b v="1"/>
    <x v="0"/>
    <n v="55892.67"/>
    <x v="1"/>
  </r>
  <r>
    <x v="23"/>
    <x v="1"/>
    <n v="24.42"/>
    <x v="2"/>
    <x v="0"/>
    <x v="1"/>
    <x v="729"/>
    <n v="118.6"/>
    <x v="1"/>
    <b v="1"/>
    <x v="0"/>
    <n v="35071.06"/>
    <x v="1"/>
  </r>
  <r>
    <x v="32"/>
    <x v="1"/>
    <n v="21.4"/>
    <x v="1"/>
    <x v="1"/>
    <x v="0"/>
    <x v="730"/>
    <n v="111.8"/>
    <x v="1"/>
    <b v="0"/>
    <x v="2"/>
    <n v="56929.48"/>
    <x v="2"/>
  </r>
  <r>
    <x v="24"/>
    <x v="0"/>
    <n v="30.1"/>
    <x v="2"/>
    <x v="1"/>
    <x v="0"/>
    <x v="731"/>
    <n v="126.8"/>
    <x v="2"/>
    <b v="0"/>
    <x v="0"/>
    <n v="127318.34"/>
    <x v="0"/>
  </r>
  <r>
    <x v="29"/>
    <x v="0"/>
    <n v="27.265000000000001"/>
    <x v="1"/>
    <x v="1"/>
    <x v="3"/>
    <x v="732"/>
    <n v="134.1"/>
    <x v="1"/>
    <b v="1"/>
    <x v="1"/>
    <n v="155574.70000000001"/>
    <x v="1"/>
  </r>
  <r>
    <x v="18"/>
    <x v="0"/>
    <n v="32.1"/>
    <x v="2"/>
    <x v="1"/>
    <x v="0"/>
    <x v="733"/>
    <n v="126.4"/>
    <x v="2"/>
    <b v="1"/>
    <x v="0"/>
    <n v="89218.02"/>
    <x v="2"/>
  </r>
  <r>
    <x v="42"/>
    <x v="0"/>
    <n v="34.770000000000003"/>
    <x v="1"/>
    <x v="1"/>
    <x v="2"/>
    <x v="734"/>
    <n v="113.9"/>
    <x v="2"/>
    <b v="0"/>
    <x v="2"/>
    <n v="131485.70000000001"/>
    <x v="1"/>
  </r>
  <r>
    <x v="7"/>
    <x v="0"/>
    <n v="38.39"/>
    <x v="0"/>
    <x v="0"/>
    <x v="1"/>
    <x v="735"/>
    <n v="111.5"/>
    <x v="0"/>
    <b v="0"/>
    <x v="1"/>
    <n v="147945.78"/>
    <x v="1"/>
  </r>
  <r>
    <x v="22"/>
    <x v="1"/>
    <n v="23.7"/>
    <x v="3"/>
    <x v="1"/>
    <x v="0"/>
    <x v="736"/>
    <n v="116.3"/>
    <x v="3"/>
    <b v="0"/>
    <x v="2"/>
    <n v="60002.2"/>
    <x v="0"/>
  </r>
  <r>
    <x v="15"/>
    <x v="1"/>
    <n v="31.73"/>
    <x v="2"/>
    <x v="0"/>
    <x v="3"/>
    <x v="737"/>
    <n v="112.9"/>
    <x v="3"/>
    <b v="1"/>
    <x v="1"/>
    <n v="42329.45"/>
    <x v="0"/>
  </r>
  <r>
    <x v="39"/>
    <x v="1"/>
    <n v="35.5"/>
    <x v="3"/>
    <x v="0"/>
    <x v="0"/>
    <x v="738"/>
    <n v="116.5"/>
    <x v="2"/>
    <b v="1"/>
    <x v="1"/>
    <n v="178225.77"/>
    <x v="0"/>
  </r>
  <r>
    <x v="40"/>
    <x v="1"/>
    <n v="24.035"/>
    <x v="3"/>
    <x v="1"/>
    <x v="3"/>
    <x v="739"/>
    <n v="138.5"/>
    <x v="3"/>
    <b v="0"/>
    <x v="1"/>
    <n v="176247.19"/>
    <x v="1"/>
  </r>
  <r>
    <x v="13"/>
    <x v="1"/>
    <n v="29.15"/>
    <x v="0"/>
    <x v="0"/>
    <x v="1"/>
    <x v="740"/>
    <n v="138.69999999999999"/>
    <x v="3"/>
    <b v="0"/>
    <x v="1"/>
    <n v="67720.479999999996"/>
    <x v="0"/>
  </r>
  <r>
    <x v="32"/>
    <x v="1"/>
    <n v="34.104999999999997"/>
    <x v="0"/>
    <x v="0"/>
    <x v="3"/>
    <x v="741"/>
    <n v="113.1"/>
    <x v="1"/>
    <b v="1"/>
    <x v="2"/>
    <n v="138035.54"/>
    <x v="2"/>
  </r>
  <r>
    <x v="5"/>
    <x v="0"/>
    <n v="26.62"/>
    <x v="0"/>
    <x v="1"/>
    <x v="1"/>
    <x v="742"/>
    <n v="129.5"/>
    <x v="0"/>
    <b v="1"/>
    <x v="2"/>
    <n v="185976.25"/>
    <x v="1"/>
  </r>
  <r>
    <x v="46"/>
    <x v="1"/>
    <n v="26.41"/>
    <x v="0"/>
    <x v="1"/>
    <x v="2"/>
    <x v="743"/>
    <n v="111.3"/>
    <x v="1"/>
    <b v="1"/>
    <x v="1"/>
    <n v="134256.70000000001"/>
    <x v="1"/>
  </r>
  <r>
    <x v="46"/>
    <x v="0"/>
    <n v="30.114999999999998"/>
    <x v="1"/>
    <x v="1"/>
    <x v="2"/>
    <x v="744"/>
    <n v="121"/>
    <x v="2"/>
    <b v="1"/>
    <x v="0"/>
    <n v="39786.230000000003"/>
    <x v="1"/>
  </r>
  <r>
    <x v="17"/>
    <x v="1"/>
    <n v="27"/>
    <x v="3"/>
    <x v="1"/>
    <x v="0"/>
    <x v="745"/>
    <n v="130.80000000000001"/>
    <x v="1"/>
    <b v="0"/>
    <x v="2"/>
    <n v="130732.11"/>
    <x v="1"/>
  </r>
  <r>
    <x v="0"/>
    <x v="1"/>
    <n v="21.754999999999999"/>
    <x v="0"/>
    <x v="1"/>
    <x v="2"/>
    <x v="746"/>
    <n v="114.5"/>
    <x v="3"/>
    <b v="1"/>
    <x v="0"/>
    <n v="133986.23000000001"/>
    <x v="0"/>
  </r>
  <r>
    <x v="43"/>
    <x v="0"/>
    <n v="36"/>
    <x v="1"/>
    <x v="1"/>
    <x v="0"/>
    <x v="747"/>
    <n v="129.69999999999999"/>
    <x v="2"/>
    <b v="0"/>
    <x v="2"/>
    <n v="106722.36"/>
    <x v="1"/>
  </r>
  <r>
    <x v="2"/>
    <x v="1"/>
    <n v="30.875"/>
    <x v="0"/>
    <x v="1"/>
    <x v="2"/>
    <x v="748"/>
    <n v="113.8"/>
    <x v="3"/>
    <b v="1"/>
    <x v="0"/>
    <n v="86023.78"/>
    <x v="0"/>
  </r>
  <r>
    <x v="7"/>
    <x v="0"/>
    <n v="26.4"/>
    <x v="0"/>
    <x v="0"/>
    <x v="1"/>
    <x v="749"/>
    <n v="120.2"/>
    <x v="2"/>
    <b v="0"/>
    <x v="2"/>
    <n v="125920.2"/>
    <x v="1"/>
  </r>
  <r>
    <x v="28"/>
    <x v="1"/>
    <n v="28.975000000000001"/>
    <x v="0"/>
    <x v="1"/>
    <x v="2"/>
    <x v="750"/>
    <n v="133.69999999999999"/>
    <x v="3"/>
    <b v="1"/>
    <x v="1"/>
    <n v="88157.74"/>
    <x v="0"/>
  </r>
  <r>
    <x v="34"/>
    <x v="1"/>
    <n v="37.905000000000001"/>
    <x v="0"/>
    <x v="1"/>
    <x v="2"/>
    <x v="751"/>
    <n v="110.3"/>
    <x v="2"/>
    <b v="0"/>
    <x v="0"/>
    <n v="187106.29"/>
    <x v="2"/>
  </r>
  <r>
    <x v="31"/>
    <x v="0"/>
    <n v="22.77"/>
    <x v="0"/>
    <x v="1"/>
    <x v="1"/>
    <x v="752"/>
    <n v="122.4"/>
    <x v="0"/>
    <b v="0"/>
    <x v="1"/>
    <n v="193773.68"/>
    <x v="2"/>
  </r>
  <r>
    <x v="24"/>
    <x v="1"/>
    <n v="33.630000000000003"/>
    <x v="5"/>
    <x v="1"/>
    <x v="3"/>
    <x v="753"/>
    <n v="125.4"/>
    <x v="0"/>
    <b v="0"/>
    <x v="0"/>
    <n v="77776.36"/>
    <x v="0"/>
  </r>
  <r>
    <x v="5"/>
    <x v="1"/>
    <n v="27.645"/>
    <x v="3"/>
    <x v="1"/>
    <x v="3"/>
    <x v="754"/>
    <n v="117.2"/>
    <x v="3"/>
    <b v="0"/>
    <x v="1"/>
    <n v="156207.07"/>
    <x v="1"/>
  </r>
  <r>
    <x v="11"/>
    <x v="0"/>
    <n v="22.8"/>
    <x v="2"/>
    <x v="1"/>
    <x v="3"/>
    <x v="755"/>
    <n v="115.7"/>
    <x v="0"/>
    <b v="0"/>
    <x v="1"/>
    <n v="171085.21"/>
    <x v="1"/>
  </r>
  <r>
    <x v="43"/>
    <x v="0"/>
    <n v="27.83"/>
    <x v="0"/>
    <x v="0"/>
    <x v="1"/>
    <x v="756"/>
    <n v="115.5"/>
    <x v="1"/>
    <b v="1"/>
    <x v="2"/>
    <n v="30705.51"/>
    <x v="1"/>
  </r>
  <r>
    <x v="16"/>
    <x v="1"/>
    <n v="37.43"/>
    <x v="2"/>
    <x v="1"/>
    <x v="3"/>
    <x v="757"/>
    <n v="120.7"/>
    <x v="0"/>
    <b v="0"/>
    <x v="0"/>
    <n v="40540.82"/>
    <x v="1"/>
  </r>
  <r>
    <x v="1"/>
    <x v="1"/>
    <n v="38.17"/>
    <x v="0"/>
    <x v="0"/>
    <x v="1"/>
    <x v="758"/>
    <n v="114.7"/>
    <x v="3"/>
    <b v="1"/>
    <x v="2"/>
    <n v="134747.82999999999"/>
    <x v="0"/>
  </r>
  <r>
    <x v="21"/>
    <x v="0"/>
    <n v="34.58"/>
    <x v="3"/>
    <x v="1"/>
    <x v="3"/>
    <x v="759"/>
    <n v="139.6"/>
    <x v="2"/>
    <b v="1"/>
    <x v="1"/>
    <n v="67981.33"/>
    <x v="0"/>
  </r>
  <r>
    <x v="15"/>
    <x v="1"/>
    <n v="35.200000000000003"/>
    <x v="1"/>
    <x v="1"/>
    <x v="0"/>
    <x v="760"/>
    <n v="121.1"/>
    <x v="2"/>
    <b v="1"/>
    <x v="0"/>
    <n v="96261.74"/>
    <x v="0"/>
  </r>
  <r>
    <x v="3"/>
    <x v="1"/>
    <n v="27.1"/>
    <x v="1"/>
    <x v="0"/>
    <x v="0"/>
    <x v="761"/>
    <n v="110.2"/>
    <x v="1"/>
    <b v="1"/>
    <x v="0"/>
    <n v="45868.01"/>
    <x v="1"/>
  </r>
  <r>
    <x v="13"/>
    <x v="1"/>
    <n v="26.03"/>
    <x v="0"/>
    <x v="1"/>
    <x v="3"/>
    <x v="762"/>
    <n v="125.5"/>
    <x v="2"/>
    <b v="1"/>
    <x v="0"/>
    <n v="130563.18"/>
    <x v="0"/>
  </r>
  <r>
    <x v="40"/>
    <x v="0"/>
    <n v="25.175000000000001"/>
    <x v="3"/>
    <x v="1"/>
    <x v="3"/>
    <x v="763"/>
    <n v="136.1"/>
    <x v="1"/>
    <b v="1"/>
    <x v="1"/>
    <n v="36083.5"/>
    <x v="1"/>
  </r>
  <r>
    <x v="38"/>
    <x v="0"/>
    <n v="31.824999999999999"/>
    <x v="0"/>
    <x v="1"/>
    <x v="2"/>
    <x v="764"/>
    <n v="133.69999999999999"/>
    <x v="2"/>
    <b v="0"/>
    <x v="0"/>
    <n v="139832.54"/>
    <x v="2"/>
  </r>
  <r>
    <x v="43"/>
    <x v="1"/>
    <n v="32.299999999999997"/>
    <x v="1"/>
    <x v="1"/>
    <x v="0"/>
    <x v="765"/>
    <n v="110.6"/>
    <x v="0"/>
    <b v="0"/>
    <x v="1"/>
    <n v="171407.94"/>
    <x v="1"/>
  </r>
  <r>
    <x v="45"/>
    <x v="0"/>
    <n v="29"/>
    <x v="1"/>
    <x v="1"/>
    <x v="0"/>
    <x v="766"/>
    <n v="123.3"/>
    <x v="0"/>
    <b v="1"/>
    <x v="1"/>
    <n v="44415.41"/>
    <x v="1"/>
  </r>
  <r>
    <x v="34"/>
    <x v="0"/>
    <n v="39.700000000000003"/>
    <x v="0"/>
    <x v="1"/>
    <x v="0"/>
    <x v="767"/>
    <n v="119.8"/>
    <x v="3"/>
    <b v="0"/>
    <x v="0"/>
    <n v="128449.26"/>
    <x v="2"/>
  </r>
  <r>
    <x v="26"/>
    <x v="0"/>
    <n v="19.475000000000001"/>
    <x v="3"/>
    <x v="1"/>
    <x v="2"/>
    <x v="768"/>
    <n v="120.7"/>
    <x v="0"/>
    <b v="0"/>
    <x v="1"/>
    <n v="130455.79"/>
    <x v="1"/>
  </r>
  <r>
    <x v="36"/>
    <x v="1"/>
    <n v="36.1"/>
    <x v="2"/>
    <x v="1"/>
    <x v="0"/>
    <x v="769"/>
    <n v="127.3"/>
    <x v="1"/>
    <b v="1"/>
    <x v="2"/>
    <n v="173298.39"/>
    <x v="2"/>
  </r>
  <r>
    <x v="32"/>
    <x v="0"/>
    <n v="26.7"/>
    <x v="3"/>
    <x v="1"/>
    <x v="0"/>
    <x v="770"/>
    <n v="117.7"/>
    <x v="1"/>
    <b v="0"/>
    <x v="1"/>
    <n v="102856.38"/>
    <x v="2"/>
  </r>
  <r>
    <x v="37"/>
    <x v="0"/>
    <n v="36.479999999999997"/>
    <x v="0"/>
    <x v="1"/>
    <x v="3"/>
    <x v="771"/>
    <n v="134.19999999999999"/>
    <x v="1"/>
    <b v="1"/>
    <x v="1"/>
    <n v="114221.45"/>
    <x v="1"/>
  </r>
  <r>
    <x v="0"/>
    <x v="0"/>
    <n v="28.88"/>
    <x v="0"/>
    <x v="0"/>
    <x v="2"/>
    <x v="772"/>
    <n v="118.6"/>
    <x v="2"/>
    <b v="0"/>
    <x v="2"/>
    <n v="50296.47"/>
    <x v="0"/>
  </r>
  <r>
    <x v="25"/>
    <x v="1"/>
    <n v="34.200000000000003"/>
    <x v="3"/>
    <x v="1"/>
    <x v="2"/>
    <x v="773"/>
    <n v="128.80000000000001"/>
    <x v="0"/>
    <b v="0"/>
    <x v="2"/>
    <n v="35053.839999999997"/>
    <x v="1"/>
  </r>
  <r>
    <x v="44"/>
    <x v="1"/>
    <n v="33.33"/>
    <x v="2"/>
    <x v="1"/>
    <x v="1"/>
    <x v="774"/>
    <n v="112.7"/>
    <x v="2"/>
    <b v="1"/>
    <x v="2"/>
    <n v="135150.99"/>
    <x v="2"/>
  </r>
  <r>
    <x v="30"/>
    <x v="1"/>
    <n v="32.299999999999997"/>
    <x v="3"/>
    <x v="1"/>
    <x v="2"/>
    <x v="775"/>
    <n v="138.69999999999999"/>
    <x v="2"/>
    <b v="0"/>
    <x v="2"/>
    <n v="162183.29"/>
    <x v="1"/>
  </r>
  <r>
    <x v="40"/>
    <x v="1"/>
    <n v="39.805"/>
    <x v="0"/>
    <x v="1"/>
    <x v="3"/>
    <x v="776"/>
    <n v="124.9"/>
    <x v="0"/>
    <b v="0"/>
    <x v="1"/>
    <n v="136100.4"/>
    <x v="1"/>
  </r>
  <r>
    <x v="23"/>
    <x v="1"/>
    <n v="34.32"/>
    <x v="2"/>
    <x v="1"/>
    <x v="1"/>
    <x v="777"/>
    <n v="123.4"/>
    <x v="3"/>
    <b v="0"/>
    <x v="2"/>
    <n v="42156.480000000003"/>
    <x v="1"/>
  </r>
  <r>
    <x v="32"/>
    <x v="1"/>
    <n v="28.88"/>
    <x v="0"/>
    <x v="1"/>
    <x v="2"/>
    <x v="778"/>
    <n v="130.80000000000001"/>
    <x v="3"/>
    <b v="1"/>
    <x v="1"/>
    <n v="187895.19"/>
    <x v="2"/>
  </r>
  <r>
    <x v="16"/>
    <x v="1"/>
    <n v="24.4"/>
    <x v="2"/>
    <x v="0"/>
    <x v="0"/>
    <x v="779"/>
    <n v="115.1"/>
    <x v="0"/>
    <b v="0"/>
    <x v="1"/>
    <n v="59360.74"/>
    <x v="1"/>
  </r>
  <r>
    <x v="1"/>
    <x v="1"/>
    <n v="41.14"/>
    <x v="0"/>
    <x v="1"/>
    <x v="1"/>
    <x v="780"/>
    <n v="138.30000000000001"/>
    <x v="3"/>
    <b v="1"/>
    <x v="2"/>
    <n v="120391.35"/>
    <x v="0"/>
  </r>
  <r>
    <x v="44"/>
    <x v="1"/>
    <n v="35.97"/>
    <x v="1"/>
    <x v="1"/>
    <x v="1"/>
    <x v="781"/>
    <n v="126.5"/>
    <x v="2"/>
    <b v="0"/>
    <x v="1"/>
    <n v="174009.97"/>
    <x v="2"/>
  </r>
  <r>
    <x v="46"/>
    <x v="0"/>
    <n v="27.6"/>
    <x v="1"/>
    <x v="0"/>
    <x v="0"/>
    <x v="782"/>
    <n v="124.6"/>
    <x v="3"/>
    <b v="0"/>
    <x v="1"/>
    <n v="31066.82"/>
    <x v="1"/>
  </r>
  <r>
    <x v="5"/>
    <x v="0"/>
    <n v="29.26"/>
    <x v="1"/>
    <x v="1"/>
    <x v="1"/>
    <x v="783"/>
    <n v="122.1"/>
    <x v="0"/>
    <b v="0"/>
    <x v="0"/>
    <n v="98939.26"/>
    <x v="1"/>
  </r>
  <r>
    <x v="23"/>
    <x v="0"/>
    <n v="27.7"/>
    <x v="2"/>
    <x v="1"/>
    <x v="0"/>
    <x v="784"/>
    <n v="115"/>
    <x v="1"/>
    <b v="0"/>
    <x v="0"/>
    <n v="85310.17"/>
    <x v="1"/>
  </r>
  <r>
    <x v="8"/>
    <x v="1"/>
    <n v="36.954999999999998"/>
    <x v="0"/>
    <x v="1"/>
    <x v="3"/>
    <x v="785"/>
    <n v="110.5"/>
    <x v="0"/>
    <b v="0"/>
    <x v="1"/>
    <n v="149872.45000000001"/>
    <x v="2"/>
  </r>
  <r>
    <x v="28"/>
    <x v="1"/>
    <n v="36.86"/>
    <x v="0"/>
    <x v="1"/>
    <x v="2"/>
    <x v="786"/>
    <n v="114.8"/>
    <x v="3"/>
    <b v="1"/>
    <x v="2"/>
    <n v="124600.56"/>
    <x v="0"/>
  </r>
  <r>
    <x v="39"/>
    <x v="1"/>
    <n v="22.515000000000001"/>
    <x v="2"/>
    <x v="1"/>
    <x v="3"/>
    <x v="787"/>
    <n v="113.6"/>
    <x v="3"/>
    <b v="0"/>
    <x v="0"/>
    <n v="70523.62"/>
    <x v="0"/>
  </r>
  <r>
    <x v="10"/>
    <x v="0"/>
    <n v="29.92"/>
    <x v="0"/>
    <x v="1"/>
    <x v="1"/>
    <x v="788"/>
    <n v="115.1"/>
    <x v="3"/>
    <b v="0"/>
    <x v="0"/>
    <n v="70040.78"/>
    <x v="2"/>
  </r>
  <r>
    <x v="11"/>
    <x v="0"/>
    <n v="41.8"/>
    <x v="0"/>
    <x v="1"/>
    <x v="1"/>
    <x v="789"/>
    <n v="120.3"/>
    <x v="2"/>
    <b v="1"/>
    <x v="1"/>
    <n v="137999.15"/>
    <x v="1"/>
  </r>
  <r>
    <x v="0"/>
    <x v="1"/>
    <n v="27.6"/>
    <x v="0"/>
    <x v="1"/>
    <x v="0"/>
    <x v="790"/>
    <n v="132.69999999999999"/>
    <x v="0"/>
    <b v="1"/>
    <x v="1"/>
    <n v="85097.56"/>
    <x v="0"/>
  </r>
  <r>
    <x v="21"/>
    <x v="0"/>
    <n v="23.18"/>
    <x v="0"/>
    <x v="1"/>
    <x v="3"/>
    <x v="791"/>
    <n v="110.2"/>
    <x v="3"/>
    <b v="0"/>
    <x v="1"/>
    <n v="33082.410000000003"/>
    <x v="0"/>
  </r>
  <r>
    <x v="32"/>
    <x v="1"/>
    <n v="20.9"/>
    <x v="0"/>
    <x v="0"/>
    <x v="1"/>
    <x v="792"/>
    <n v="113.6"/>
    <x v="0"/>
    <b v="0"/>
    <x v="0"/>
    <n v="126135.42"/>
    <x v="2"/>
  </r>
  <r>
    <x v="11"/>
    <x v="0"/>
    <n v="31.92"/>
    <x v="3"/>
    <x v="1"/>
    <x v="2"/>
    <x v="793"/>
    <n v="110.5"/>
    <x v="2"/>
    <b v="1"/>
    <x v="1"/>
    <n v="180139.03"/>
    <x v="1"/>
  </r>
  <r>
    <x v="13"/>
    <x v="1"/>
    <n v="28.5"/>
    <x v="0"/>
    <x v="0"/>
    <x v="2"/>
    <x v="794"/>
    <n v="124.3"/>
    <x v="0"/>
    <b v="1"/>
    <x v="1"/>
    <n v="144424.10999999999"/>
    <x v="0"/>
  </r>
  <r>
    <x v="16"/>
    <x v="1"/>
    <n v="44.22"/>
    <x v="3"/>
    <x v="1"/>
    <x v="1"/>
    <x v="795"/>
    <n v="120.5"/>
    <x v="1"/>
    <b v="1"/>
    <x v="1"/>
    <n v="122041.72"/>
    <x v="1"/>
  </r>
  <r>
    <x v="16"/>
    <x v="0"/>
    <n v="22.895"/>
    <x v="1"/>
    <x v="1"/>
    <x v="3"/>
    <x v="796"/>
    <n v="130"/>
    <x v="0"/>
    <b v="1"/>
    <x v="0"/>
    <n v="183490.02"/>
    <x v="1"/>
  </r>
  <r>
    <x v="31"/>
    <x v="0"/>
    <n v="33.1"/>
    <x v="0"/>
    <x v="1"/>
    <x v="0"/>
    <x v="797"/>
    <n v="127.3"/>
    <x v="1"/>
    <b v="0"/>
    <x v="1"/>
    <n v="105330.37"/>
    <x v="2"/>
  </r>
  <r>
    <x v="3"/>
    <x v="1"/>
    <n v="24.795000000000002"/>
    <x v="0"/>
    <x v="0"/>
    <x v="3"/>
    <x v="798"/>
    <n v="116.5"/>
    <x v="0"/>
    <b v="1"/>
    <x v="2"/>
    <n v="198477.8"/>
    <x v="1"/>
  </r>
  <r>
    <x v="45"/>
    <x v="0"/>
    <n v="26.18"/>
    <x v="1"/>
    <x v="1"/>
    <x v="1"/>
    <x v="799"/>
    <n v="118"/>
    <x v="0"/>
    <b v="1"/>
    <x v="1"/>
    <n v="73131.3"/>
    <x v="1"/>
  </r>
  <r>
    <x v="34"/>
    <x v="0"/>
    <n v="35.97"/>
    <x v="0"/>
    <x v="1"/>
    <x v="1"/>
    <x v="800"/>
    <n v="110.1"/>
    <x v="3"/>
    <b v="1"/>
    <x v="2"/>
    <n v="36948.85"/>
    <x v="2"/>
  </r>
  <r>
    <x v="28"/>
    <x v="1"/>
    <n v="22.3"/>
    <x v="1"/>
    <x v="1"/>
    <x v="0"/>
    <x v="801"/>
    <n v="115.9"/>
    <x v="3"/>
    <b v="0"/>
    <x v="2"/>
    <n v="183262.74"/>
    <x v="0"/>
  </r>
  <r>
    <x v="1"/>
    <x v="0"/>
    <n v="42.24"/>
    <x v="0"/>
    <x v="0"/>
    <x v="1"/>
    <x v="802"/>
    <n v="129.69999999999999"/>
    <x v="3"/>
    <b v="1"/>
    <x v="2"/>
    <n v="141462.18"/>
    <x v="0"/>
  </r>
  <r>
    <x v="15"/>
    <x v="1"/>
    <n v="26.51"/>
    <x v="0"/>
    <x v="1"/>
    <x v="1"/>
    <x v="803"/>
    <n v="139.9"/>
    <x v="0"/>
    <b v="1"/>
    <x v="0"/>
    <n v="193061.49"/>
    <x v="0"/>
  </r>
  <r>
    <x v="40"/>
    <x v="0"/>
    <n v="35.814999999999998"/>
    <x v="0"/>
    <x v="1"/>
    <x v="2"/>
    <x v="804"/>
    <n v="115.7"/>
    <x v="2"/>
    <b v="0"/>
    <x v="0"/>
    <n v="37134.43"/>
    <x v="1"/>
  </r>
  <r>
    <x v="30"/>
    <x v="0"/>
    <n v="41.42"/>
    <x v="1"/>
    <x v="1"/>
    <x v="2"/>
    <x v="805"/>
    <n v="133.5"/>
    <x v="0"/>
    <b v="1"/>
    <x v="2"/>
    <n v="86176.91"/>
    <x v="1"/>
  </r>
  <r>
    <x v="0"/>
    <x v="0"/>
    <n v="36.575000000000003"/>
    <x v="0"/>
    <x v="1"/>
    <x v="2"/>
    <x v="806"/>
    <n v="127.8"/>
    <x v="1"/>
    <b v="1"/>
    <x v="2"/>
    <n v="53501.53"/>
    <x v="0"/>
  </r>
  <r>
    <x v="1"/>
    <x v="1"/>
    <n v="30.14"/>
    <x v="0"/>
    <x v="1"/>
    <x v="1"/>
    <x v="807"/>
    <n v="110.5"/>
    <x v="1"/>
    <b v="0"/>
    <x v="2"/>
    <n v="148241.45000000001"/>
    <x v="0"/>
  </r>
  <r>
    <x v="9"/>
    <x v="1"/>
    <n v="25.84"/>
    <x v="1"/>
    <x v="1"/>
    <x v="3"/>
    <x v="808"/>
    <n v="139.19999999999999"/>
    <x v="2"/>
    <b v="0"/>
    <x v="2"/>
    <n v="170786.88"/>
    <x v="0"/>
  </r>
  <r>
    <x v="6"/>
    <x v="0"/>
    <n v="30.8"/>
    <x v="2"/>
    <x v="1"/>
    <x v="0"/>
    <x v="809"/>
    <n v="133.30000000000001"/>
    <x v="0"/>
    <b v="0"/>
    <x v="0"/>
    <n v="37408.080000000002"/>
    <x v="1"/>
  </r>
  <r>
    <x v="3"/>
    <x v="0"/>
    <n v="42.94"/>
    <x v="2"/>
    <x v="1"/>
    <x v="2"/>
    <x v="810"/>
    <n v="137.1"/>
    <x v="0"/>
    <b v="0"/>
    <x v="1"/>
    <n v="32095.22"/>
    <x v="1"/>
  </r>
  <r>
    <x v="41"/>
    <x v="1"/>
    <n v="21.01"/>
    <x v="3"/>
    <x v="1"/>
    <x v="1"/>
    <x v="811"/>
    <n v="117.9"/>
    <x v="2"/>
    <b v="1"/>
    <x v="1"/>
    <n v="63795.38"/>
    <x v="2"/>
  </r>
  <r>
    <x v="2"/>
    <x v="1"/>
    <n v="22.515000000000001"/>
    <x v="3"/>
    <x v="1"/>
    <x v="3"/>
    <x v="812"/>
    <n v="127.5"/>
    <x v="0"/>
    <b v="0"/>
    <x v="2"/>
    <n v="143358.75"/>
    <x v="0"/>
  </r>
  <r>
    <x v="27"/>
    <x v="1"/>
    <n v="34.43"/>
    <x v="3"/>
    <x v="1"/>
    <x v="1"/>
    <x v="813"/>
    <n v="114.5"/>
    <x v="1"/>
    <b v="0"/>
    <x v="0"/>
    <n v="123447.4"/>
    <x v="1"/>
  </r>
  <r>
    <x v="35"/>
    <x v="0"/>
    <n v="31.46"/>
    <x v="0"/>
    <x v="1"/>
    <x v="1"/>
    <x v="814"/>
    <n v="130.6"/>
    <x v="2"/>
    <b v="1"/>
    <x v="0"/>
    <n v="38904.47"/>
    <x v="0"/>
  </r>
  <r>
    <x v="24"/>
    <x v="0"/>
    <n v="24.225000000000001"/>
    <x v="0"/>
    <x v="1"/>
    <x v="2"/>
    <x v="815"/>
    <n v="137.6"/>
    <x v="1"/>
    <b v="1"/>
    <x v="2"/>
    <n v="80999.22"/>
    <x v="0"/>
  </r>
  <r>
    <x v="15"/>
    <x v="1"/>
    <n v="37.1"/>
    <x v="2"/>
    <x v="1"/>
    <x v="0"/>
    <x v="816"/>
    <n v="133.30000000000001"/>
    <x v="3"/>
    <b v="1"/>
    <x v="1"/>
    <n v="113910.24"/>
    <x v="0"/>
  </r>
  <r>
    <x v="43"/>
    <x v="0"/>
    <n v="26.125"/>
    <x v="1"/>
    <x v="0"/>
    <x v="3"/>
    <x v="817"/>
    <n v="112.7"/>
    <x v="3"/>
    <b v="0"/>
    <x v="2"/>
    <n v="156126.42000000001"/>
    <x v="1"/>
  </r>
  <r>
    <x v="3"/>
    <x v="0"/>
    <n v="35.53"/>
    <x v="0"/>
    <x v="0"/>
    <x v="2"/>
    <x v="818"/>
    <n v="130.5"/>
    <x v="1"/>
    <b v="0"/>
    <x v="2"/>
    <n v="156218.54999999999"/>
    <x v="1"/>
  </r>
  <r>
    <x v="40"/>
    <x v="1"/>
    <n v="33.700000000000003"/>
    <x v="1"/>
    <x v="1"/>
    <x v="0"/>
    <x v="819"/>
    <n v="128.69999999999999"/>
    <x v="1"/>
    <b v="0"/>
    <x v="2"/>
    <n v="140588.68"/>
    <x v="1"/>
  </r>
  <r>
    <x v="22"/>
    <x v="1"/>
    <n v="17.670000000000002"/>
    <x v="0"/>
    <x v="1"/>
    <x v="2"/>
    <x v="820"/>
    <n v="122"/>
    <x v="2"/>
    <b v="1"/>
    <x v="0"/>
    <n v="166391.71"/>
    <x v="0"/>
  </r>
  <r>
    <x v="1"/>
    <x v="0"/>
    <n v="31.13"/>
    <x v="0"/>
    <x v="1"/>
    <x v="1"/>
    <x v="821"/>
    <n v="115.1"/>
    <x v="0"/>
    <b v="0"/>
    <x v="0"/>
    <n v="52562.11"/>
    <x v="0"/>
  </r>
  <r>
    <x v="37"/>
    <x v="0"/>
    <n v="29.81"/>
    <x v="3"/>
    <x v="1"/>
    <x v="1"/>
    <x v="822"/>
    <n v="120.7"/>
    <x v="0"/>
    <b v="0"/>
    <x v="2"/>
    <n v="167927.56"/>
    <x v="1"/>
  </r>
  <r>
    <x v="8"/>
    <x v="1"/>
    <n v="24.32"/>
    <x v="0"/>
    <x v="1"/>
    <x v="2"/>
    <x v="823"/>
    <n v="135.5"/>
    <x v="1"/>
    <b v="0"/>
    <x v="1"/>
    <n v="53594.93"/>
    <x v="2"/>
  </r>
  <r>
    <x v="34"/>
    <x v="0"/>
    <n v="31.824999999999999"/>
    <x v="3"/>
    <x v="1"/>
    <x v="3"/>
    <x v="824"/>
    <n v="111.5"/>
    <x v="2"/>
    <b v="0"/>
    <x v="2"/>
    <n v="106286.87"/>
    <x v="2"/>
  </r>
  <r>
    <x v="12"/>
    <x v="1"/>
    <n v="31.79"/>
    <x v="3"/>
    <x v="0"/>
    <x v="1"/>
    <x v="825"/>
    <n v="110.8"/>
    <x v="2"/>
    <b v="1"/>
    <x v="0"/>
    <n v="173980.74"/>
    <x v="2"/>
  </r>
  <r>
    <x v="27"/>
    <x v="1"/>
    <n v="28.024999999999999"/>
    <x v="1"/>
    <x v="0"/>
    <x v="3"/>
    <x v="826"/>
    <n v="118.3"/>
    <x v="1"/>
    <b v="0"/>
    <x v="0"/>
    <n v="31538.63"/>
    <x v="1"/>
  </r>
  <r>
    <x v="25"/>
    <x v="1"/>
    <n v="30.78"/>
    <x v="2"/>
    <x v="0"/>
    <x v="3"/>
    <x v="827"/>
    <n v="119.4"/>
    <x v="3"/>
    <b v="1"/>
    <x v="2"/>
    <n v="180766"/>
    <x v="1"/>
  </r>
  <r>
    <x v="11"/>
    <x v="1"/>
    <n v="21.85"/>
    <x v="1"/>
    <x v="1"/>
    <x v="2"/>
    <x v="828"/>
    <n v="111.2"/>
    <x v="0"/>
    <b v="1"/>
    <x v="1"/>
    <n v="118037.31"/>
    <x v="1"/>
  </r>
  <r>
    <x v="19"/>
    <x v="1"/>
    <n v="33.1"/>
    <x v="0"/>
    <x v="1"/>
    <x v="0"/>
    <x v="829"/>
    <n v="110.1"/>
    <x v="2"/>
    <b v="1"/>
    <x v="1"/>
    <n v="151199.99"/>
    <x v="2"/>
  </r>
  <r>
    <x v="27"/>
    <x v="0"/>
    <n v="25.84"/>
    <x v="0"/>
    <x v="1"/>
    <x v="2"/>
    <x v="830"/>
    <n v="124.3"/>
    <x v="0"/>
    <b v="0"/>
    <x v="0"/>
    <n v="58340.33"/>
    <x v="1"/>
  </r>
  <r>
    <x v="2"/>
    <x v="0"/>
    <n v="23.844999999999999"/>
    <x v="3"/>
    <x v="1"/>
    <x v="2"/>
    <x v="831"/>
    <n v="119.8"/>
    <x v="2"/>
    <b v="1"/>
    <x v="2"/>
    <n v="130439.07"/>
    <x v="0"/>
  </r>
  <r>
    <x v="31"/>
    <x v="1"/>
    <n v="34.39"/>
    <x v="0"/>
    <x v="1"/>
    <x v="2"/>
    <x v="832"/>
    <n v="113.3"/>
    <x v="1"/>
    <b v="1"/>
    <x v="0"/>
    <n v="92329.39"/>
    <x v="2"/>
  </r>
  <r>
    <x v="27"/>
    <x v="1"/>
    <n v="33.82"/>
    <x v="1"/>
    <x v="1"/>
    <x v="2"/>
    <x v="833"/>
    <n v="135"/>
    <x v="0"/>
    <b v="0"/>
    <x v="2"/>
    <n v="156465.91"/>
    <x v="1"/>
  </r>
  <r>
    <x v="45"/>
    <x v="1"/>
    <n v="35.97"/>
    <x v="3"/>
    <x v="1"/>
    <x v="1"/>
    <x v="834"/>
    <n v="139.9"/>
    <x v="2"/>
    <b v="1"/>
    <x v="1"/>
    <n v="97902.29"/>
    <x v="1"/>
  </r>
  <r>
    <x v="27"/>
    <x v="1"/>
    <n v="31.5"/>
    <x v="0"/>
    <x v="1"/>
    <x v="0"/>
    <x v="835"/>
    <n v="120.1"/>
    <x v="2"/>
    <b v="0"/>
    <x v="1"/>
    <n v="109777.07"/>
    <x v="1"/>
  </r>
  <r>
    <x v="12"/>
    <x v="0"/>
    <n v="28.31"/>
    <x v="0"/>
    <x v="1"/>
    <x v="3"/>
    <x v="836"/>
    <n v="139.4"/>
    <x v="0"/>
    <b v="0"/>
    <x v="2"/>
    <n v="85115.26"/>
    <x v="2"/>
  </r>
  <r>
    <x v="23"/>
    <x v="0"/>
    <n v="23.465"/>
    <x v="3"/>
    <x v="1"/>
    <x v="3"/>
    <x v="837"/>
    <n v="139"/>
    <x v="3"/>
    <b v="1"/>
    <x v="1"/>
    <n v="148960.94"/>
    <x v="1"/>
  </r>
  <r>
    <x v="18"/>
    <x v="0"/>
    <n v="31.35"/>
    <x v="0"/>
    <x v="1"/>
    <x v="2"/>
    <x v="838"/>
    <n v="122.7"/>
    <x v="3"/>
    <b v="0"/>
    <x v="1"/>
    <n v="92726.7"/>
    <x v="2"/>
  </r>
  <r>
    <x v="28"/>
    <x v="1"/>
    <n v="31.1"/>
    <x v="0"/>
    <x v="1"/>
    <x v="0"/>
    <x v="839"/>
    <n v="126.7"/>
    <x v="1"/>
    <b v="0"/>
    <x v="2"/>
    <n v="83810.570000000007"/>
    <x v="0"/>
  </r>
  <r>
    <x v="18"/>
    <x v="1"/>
    <n v="24.7"/>
    <x v="0"/>
    <x v="1"/>
    <x v="3"/>
    <x v="840"/>
    <n v="137.5"/>
    <x v="3"/>
    <b v="1"/>
    <x v="2"/>
    <n v="86257.22"/>
    <x v="2"/>
  </r>
  <r>
    <x v="15"/>
    <x v="0"/>
    <n v="32.78"/>
    <x v="3"/>
    <x v="0"/>
    <x v="1"/>
    <x v="841"/>
    <n v="138.9"/>
    <x v="1"/>
    <b v="0"/>
    <x v="0"/>
    <n v="142675.51"/>
    <x v="0"/>
  </r>
  <r>
    <x v="38"/>
    <x v="0"/>
    <n v="29.81"/>
    <x v="0"/>
    <x v="0"/>
    <x v="1"/>
    <x v="842"/>
    <n v="128.9"/>
    <x v="0"/>
    <b v="0"/>
    <x v="1"/>
    <n v="127034.48"/>
    <x v="2"/>
  </r>
  <r>
    <x v="32"/>
    <x v="1"/>
    <n v="30.495000000000001"/>
    <x v="0"/>
    <x v="1"/>
    <x v="3"/>
    <x v="843"/>
    <n v="136.6"/>
    <x v="1"/>
    <b v="0"/>
    <x v="2"/>
    <n v="180785.66"/>
    <x v="2"/>
  </r>
  <r>
    <x v="8"/>
    <x v="0"/>
    <n v="32.450000000000003"/>
    <x v="0"/>
    <x v="0"/>
    <x v="1"/>
    <x v="844"/>
    <n v="119.8"/>
    <x v="2"/>
    <b v="1"/>
    <x v="1"/>
    <n v="46568.63"/>
    <x v="2"/>
  </r>
  <r>
    <x v="44"/>
    <x v="0"/>
    <n v="34.200000000000003"/>
    <x v="1"/>
    <x v="1"/>
    <x v="0"/>
    <x v="845"/>
    <n v="127.7"/>
    <x v="0"/>
    <b v="1"/>
    <x v="1"/>
    <n v="89369.71"/>
    <x v="2"/>
  </r>
  <r>
    <x v="15"/>
    <x v="1"/>
    <n v="50.38"/>
    <x v="1"/>
    <x v="1"/>
    <x v="1"/>
    <x v="846"/>
    <n v="111.5"/>
    <x v="1"/>
    <b v="1"/>
    <x v="1"/>
    <n v="140677.88"/>
    <x v="0"/>
  </r>
  <r>
    <x v="13"/>
    <x v="0"/>
    <n v="24.1"/>
    <x v="0"/>
    <x v="1"/>
    <x v="0"/>
    <x v="847"/>
    <n v="113.1"/>
    <x v="0"/>
    <b v="0"/>
    <x v="0"/>
    <n v="112288.11"/>
    <x v="0"/>
  </r>
  <r>
    <x v="20"/>
    <x v="1"/>
    <n v="32.774999999999999"/>
    <x v="0"/>
    <x v="1"/>
    <x v="2"/>
    <x v="848"/>
    <n v="110.4"/>
    <x v="2"/>
    <b v="1"/>
    <x v="1"/>
    <n v="123276.71"/>
    <x v="2"/>
  </r>
  <r>
    <x v="7"/>
    <x v="0"/>
    <n v="30.78"/>
    <x v="0"/>
    <x v="0"/>
    <x v="3"/>
    <x v="849"/>
    <n v="118"/>
    <x v="0"/>
    <b v="0"/>
    <x v="1"/>
    <n v="148695.51"/>
    <x v="1"/>
  </r>
  <r>
    <x v="36"/>
    <x v="1"/>
    <n v="32.299999999999997"/>
    <x v="3"/>
    <x v="1"/>
    <x v="2"/>
    <x v="850"/>
    <n v="138.9"/>
    <x v="3"/>
    <b v="0"/>
    <x v="1"/>
    <n v="114603.9"/>
    <x v="2"/>
  </r>
  <r>
    <x v="6"/>
    <x v="0"/>
    <n v="35.53"/>
    <x v="0"/>
    <x v="0"/>
    <x v="3"/>
    <x v="851"/>
    <n v="135.6"/>
    <x v="2"/>
    <b v="0"/>
    <x v="0"/>
    <n v="188965.85"/>
    <x v="1"/>
  </r>
  <r>
    <x v="32"/>
    <x v="0"/>
    <n v="23.75"/>
    <x v="3"/>
    <x v="1"/>
    <x v="3"/>
    <x v="852"/>
    <n v="132.5"/>
    <x v="1"/>
    <b v="1"/>
    <x v="1"/>
    <n v="59052.62"/>
    <x v="2"/>
  </r>
  <r>
    <x v="42"/>
    <x v="0"/>
    <n v="23.844999999999999"/>
    <x v="2"/>
    <x v="0"/>
    <x v="3"/>
    <x v="853"/>
    <n v="130.30000000000001"/>
    <x v="2"/>
    <b v="0"/>
    <x v="1"/>
    <n v="72981.78"/>
    <x v="1"/>
  </r>
  <r>
    <x v="35"/>
    <x v="0"/>
    <n v="29.6"/>
    <x v="0"/>
    <x v="1"/>
    <x v="0"/>
    <x v="854"/>
    <n v="116.8"/>
    <x v="0"/>
    <b v="0"/>
    <x v="0"/>
    <n v="183689.98"/>
    <x v="0"/>
  </r>
  <r>
    <x v="29"/>
    <x v="0"/>
    <n v="33.11"/>
    <x v="0"/>
    <x v="0"/>
    <x v="1"/>
    <x v="855"/>
    <n v="125.8"/>
    <x v="2"/>
    <b v="1"/>
    <x v="2"/>
    <n v="194297.38"/>
    <x v="1"/>
  </r>
  <r>
    <x v="9"/>
    <x v="1"/>
    <n v="24.13"/>
    <x v="0"/>
    <x v="0"/>
    <x v="2"/>
    <x v="856"/>
    <n v="126.8"/>
    <x v="1"/>
    <b v="0"/>
    <x v="0"/>
    <n v="124047.48"/>
    <x v="0"/>
  </r>
  <r>
    <x v="9"/>
    <x v="0"/>
    <n v="32.229999999999997"/>
    <x v="1"/>
    <x v="1"/>
    <x v="1"/>
    <x v="857"/>
    <n v="111.9"/>
    <x v="1"/>
    <b v="1"/>
    <x v="1"/>
    <n v="103947.64"/>
    <x v="0"/>
  </r>
  <r>
    <x v="38"/>
    <x v="1"/>
    <n v="28.1"/>
    <x v="0"/>
    <x v="1"/>
    <x v="0"/>
    <x v="858"/>
    <n v="129.80000000000001"/>
    <x v="3"/>
    <b v="1"/>
    <x v="1"/>
    <n v="131095.49"/>
    <x v="2"/>
  </r>
  <r>
    <x v="7"/>
    <x v="0"/>
    <n v="47.6"/>
    <x v="3"/>
    <x v="0"/>
    <x v="0"/>
    <x v="859"/>
    <n v="117.3"/>
    <x v="2"/>
    <b v="1"/>
    <x v="0"/>
    <n v="53733.87"/>
    <x v="1"/>
  </r>
  <r>
    <x v="26"/>
    <x v="0"/>
    <n v="28"/>
    <x v="2"/>
    <x v="1"/>
    <x v="0"/>
    <x v="860"/>
    <n v="134.1"/>
    <x v="0"/>
    <b v="1"/>
    <x v="0"/>
    <n v="165777.94"/>
    <x v="1"/>
  </r>
  <r>
    <x v="20"/>
    <x v="0"/>
    <n v="33.534999999999997"/>
    <x v="3"/>
    <x v="1"/>
    <x v="2"/>
    <x v="861"/>
    <n v="125.4"/>
    <x v="2"/>
    <b v="1"/>
    <x v="2"/>
    <n v="125403.19"/>
    <x v="2"/>
  </r>
  <r>
    <x v="27"/>
    <x v="0"/>
    <n v="19.855"/>
    <x v="0"/>
    <x v="1"/>
    <x v="3"/>
    <x v="862"/>
    <n v="113.2"/>
    <x v="1"/>
    <b v="1"/>
    <x v="0"/>
    <n v="73852.289999999994"/>
    <x v="1"/>
  </r>
  <r>
    <x v="44"/>
    <x v="1"/>
    <n v="25.4"/>
    <x v="0"/>
    <x v="1"/>
    <x v="0"/>
    <x v="863"/>
    <n v="130.69999999999999"/>
    <x v="1"/>
    <b v="1"/>
    <x v="1"/>
    <n v="132962.19"/>
    <x v="2"/>
  </r>
  <r>
    <x v="30"/>
    <x v="1"/>
    <n v="29.9"/>
    <x v="3"/>
    <x v="1"/>
    <x v="0"/>
    <x v="864"/>
    <n v="119.2"/>
    <x v="1"/>
    <b v="0"/>
    <x v="1"/>
    <n v="192497.43"/>
    <x v="1"/>
  </r>
  <r>
    <x v="1"/>
    <x v="1"/>
    <n v="37.29"/>
    <x v="0"/>
    <x v="1"/>
    <x v="1"/>
    <x v="865"/>
    <n v="124.6"/>
    <x v="2"/>
    <b v="1"/>
    <x v="1"/>
    <n v="94748.37"/>
    <x v="0"/>
  </r>
  <r>
    <x v="38"/>
    <x v="1"/>
    <n v="43.7"/>
    <x v="1"/>
    <x v="1"/>
    <x v="0"/>
    <x v="866"/>
    <n v="123.2"/>
    <x v="1"/>
    <b v="0"/>
    <x v="0"/>
    <n v="166221.01"/>
    <x v="2"/>
  </r>
  <r>
    <x v="36"/>
    <x v="1"/>
    <n v="23.655000000000001"/>
    <x v="0"/>
    <x v="1"/>
    <x v="3"/>
    <x v="867"/>
    <n v="120.7"/>
    <x v="2"/>
    <b v="0"/>
    <x v="0"/>
    <n v="32932.160000000003"/>
    <x v="2"/>
  </r>
  <r>
    <x v="9"/>
    <x v="0"/>
    <n v="24.3"/>
    <x v="2"/>
    <x v="1"/>
    <x v="0"/>
    <x v="868"/>
    <n v="114.5"/>
    <x v="1"/>
    <b v="0"/>
    <x v="0"/>
    <n v="174343.25"/>
    <x v="0"/>
  </r>
  <r>
    <x v="46"/>
    <x v="1"/>
    <n v="36.200000000000003"/>
    <x v="0"/>
    <x v="1"/>
    <x v="0"/>
    <x v="869"/>
    <n v="115.6"/>
    <x v="0"/>
    <b v="1"/>
    <x v="0"/>
    <n v="141712.43"/>
    <x v="1"/>
  </r>
  <r>
    <x v="22"/>
    <x v="0"/>
    <n v="29.48"/>
    <x v="1"/>
    <x v="1"/>
    <x v="1"/>
    <x v="870"/>
    <n v="129"/>
    <x v="1"/>
    <b v="1"/>
    <x v="1"/>
    <n v="82991.08"/>
    <x v="0"/>
  </r>
  <r>
    <x v="45"/>
    <x v="1"/>
    <n v="24.86"/>
    <x v="0"/>
    <x v="1"/>
    <x v="1"/>
    <x v="871"/>
    <n v="118.3"/>
    <x v="1"/>
    <b v="0"/>
    <x v="1"/>
    <n v="147283.63"/>
    <x v="1"/>
  </r>
  <r>
    <x v="33"/>
    <x v="1"/>
    <n v="30.1"/>
    <x v="1"/>
    <x v="1"/>
    <x v="0"/>
    <x v="872"/>
    <n v="136.80000000000001"/>
    <x v="3"/>
    <b v="1"/>
    <x v="1"/>
    <n v="58946.84"/>
    <x v="1"/>
  </r>
  <r>
    <x v="37"/>
    <x v="1"/>
    <n v="21.85"/>
    <x v="2"/>
    <x v="1"/>
    <x v="3"/>
    <x v="873"/>
    <n v="136"/>
    <x v="0"/>
    <b v="0"/>
    <x v="2"/>
    <n v="77477.61"/>
    <x v="1"/>
  </r>
  <r>
    <x v="15"/>
    <x v="0"/>
    <n v="28.12"/>
    <x v="0"/>
    <x v="1"/>
    <x v="2"/>
    <x v="874"/>
    <n v="124.8"/>
    <x v="1"/>
    <b v="0"/>
    <x v="0"/>
    <n v="74513.63"/>
    <x v="0"/>
  </r>
  <r>
    <x v="42"/>
    <x v="0"/>
    <n v="27.1"/>
    <x v="1"/>
    <x v="1"/>
    <x v="0"/>
    <x v="875"/>
    <n v="123.2"/>
    <x v="2"/>
    <b v="0"/>
    <x v="0"/>
    <n v="186066.83"/>
    <x v="1"/>
  </r>
  <r>
    <x v="3"/>
    <x v="1"/>
    <n v="33.44"/>
    <x v="4"/>
    <x v="1"/>
    <x v="1"/>
    <x v="876"/>
    <n v="111.6"/>
    <x v="2"/>
    <b v="0"/>
    <x v="1"/>
    <n v="186944.88"/>
    <x v="1"/>
  </r>
  <r>
    <x v="25"/>
    <x v="1"/>
    <n v="28.8"/>
    <x v="1"/>
    <x v="1"/>
    <x v="0"/>
    <x v="877"/>
    <n v="120.4"/>
    <x v="2"/>
    <b v="0"/>
    <x v="2"/>
    <n v="51056.800000000003"/>
    <x v="1"/>
  </r>
  <r>
    <x v="7"/>
    <x v="0"/>
    <n v="29.5"/>
    <x v="3"/>
    <x v="1"/>
    <x v="0"/>
    <x v="878"/>
    <n v="135.80000000000001"/>
    <x v="1"/>
    <b v="0"/>
    <x v="0"/>
    <n v="120367.76"/>
    <x v="1"/>
  </r>
  <r>
    <x v="21"/>
    <x v="1"/>
    <n v="34.799999999999997"/>
    <x v="2"/>
    <x v="1"/>
    <x v="0"/>
    <x v="879"/>
    <n v="120.2"/>
    <x v="2"/>
    <b v="0"/>
    <x v="0"/>
    <n v="78666.2"/>
    <x v="0"/>
  </r>
  <r>
    <x v="15"/>
    <x v="1"/>
    <n v="27.36"/>
    <x v="1"/>
    <x v="1"/>
    <x v="2"/>
    <x v="880"/>
    <n v="113.8"/>
    <x v="3"/>
    <b v="0"/>
    <x v="2"/>
    <n v="50037.86"/>
    <x v="0"/>
  </r>
  <r>
    <x v="28"/>
    <x v="0"/>
    <n v="22.135000000000002"/>
    <x v="0"/>
    <x v="1"/>
    <x v="3"/>
    <x v="881"/>
    <n v="123.5"/>
    <x v="3"/>
    <b v="1"/>
    <x v="2"/>
    <n v="147214.63"/>
    <x v="0"/>
  </r>
  <r>
    <x v="44"/>
    <x v="0"/>
    <n v="37.049999999999997"/>
    <x v="2"/>
    <x v="0"/>
    <x v="3"/>
    <x v="882"/>
    <n v="137.6"/>
    <x v="0"/>
    <b v="0"/>
    <x v="0"/>
    <n v="182249.79"/>
    <x v="2"/>
  </r>
  <r>
    <x v="9"/>
    <x v="1"/>
    <n v="26.695"/>
    <x v="5"/>
    <x v="1"/>
    <x v="2"/>
    <x v="883"/>
    <n v="139.6"/>
    <x v="0"/>
    <b v="0"/>
    <x v="0"/>
    <n v="145704.82"/>
    <x v="0"/>
  </r>
  <r>
    <x v="4"/>
    <x v="1"/>
    <n v="28.93"/>
    <x v="1"/>
    <x v="0"/>
    <x v="1"/>
    <x v="884"/>
    <n v="139.19999999999999"/>
    <x v="3"/>
    <b v="0"/>
    <x v="1"/>
    <n v="35477.51"/>
    <x v="1"/>
  </r>
  <r>
    <x v="38"/>
    <x v="1"/>
    <n v="28.975000000000001"/>
    <x v="0"/>
    <x v="0"/>
    <x v="3"/>
    <x v="885"/>
    <n v="128.9"/>
    <x v="3"/>
    <b v="1"/>
    <x v="1"/>
    <n v="145174.65"/>
    <x v="2"/>
  </r>
  <r>
    <x v="27"/>
    <x v="0"/>
    <n v="30.02"/>
    <x v="0"/>
    <x v="1"/>
    <x v="2"/>
    <x v="886"/>
    <n v="139.9"/>
    <x v="0"/>
    <b v="0"/>
    <x v="2"/>
    <n v="176634.57"/>
    <x v="1"/>
  </r>
  <r>
    <x v="21"/>
    <x v="1"/>
    <n v="39.5"/>
    <x v="0"/>
    <x v="1"/>
    <x v="0"/>
    <x v="887"/>
    <n v="139.5"/>
    <x v="0"/>
    <b v="1"/>
    <x v="0"/>
    <n v="119305.7"/>
    <x v="0"/>
  </r>
  <r>
    <x v="38"/>
    <x v="1"/>
    <n v="33.630000000000003"/>
    <x v="1"/>
    <x v="1"/>
    <x v="2"/>
    <x v="888"/>
    <n v="114.6"/>
    <x v="0"/>
    <b v="1"/>
    <x v="1"/>
    <n v="186012.48"/>
    <x v="2"/>
  </r>
  <r>
    <x v="34"/>
    <x v="0"/>
    <n v="26.885000000000002"/>
    <x v="0"/>
    <x v="0"/>
    <x v="2"/>
    <x v="889"/>
    <n v="111.5"/>
    <x v="2"/>
    <b v="0"/>
    <x v="1"/>
    <n v="190690.01"/>
    <x v="2"/>
  </r>
  <r>
    <x v="27"/>
    <x v="0"/>
    <n v="29.04"/>
    <x v="5"/>
    <x v="1"/>
    <x v="1"/>
    <x v="890"/>
    <n v="135.9"/>
    <x v="0"/>
    <b v="1"/>
    <x v="1"/>
    <n v="36603.32"/>
    <x v="1"/>
  </r>
  <r>
    <x v="41"/>
    <x v="1"/>
    <n v="24.035"/>
    <x v="0"/>
    <x v="1"/>
    <x v="3"/>
    <x v="891"/>
    <n v="116.7"/>
    <x v="1"/>
    <b v="0"/>
    <x v="2"/>
    <n v="154902.25"/>
    <x v="2"/>
  </r>
  <r>
    <x v="43"/>
    <x v="1"/>
    <n v="38.94"/>
    <x v="3"/>
    <x v="0"/>
    <x v="1"/>
    <x v="892"/>
    <n v="122.2"/>
    <x v="2"/>
    <b v="0"/>
    <x v="1"/>
    <n v="116133.98"/>
    <x v="1"/>
  </r>
  <r>
    <x v="10"/>
    <x v="1"/>
    <n v="32.11"/>
    <x v="0"/>
    <x v="1"/>
    <x v="3"/>
    <x v="893"/>
    <n v="118.7"/>
    <x v="2"/>
    <b v="1"/>
    <x v="1"/>
    <n v="62485.13"/>
    <x v="2"/>
  </r>
  <r>
    <x v="36"/>
    <x v="0"/>
    <n v="44"/>
    <x v="0"/>
    <x v="1"/>
    <x v="0"/>
    <x v="894"/>
    <n v="121.7"/>
    <x v="1"/>
    <b v="0"/>
    <x v="1"/>
    <n v="76848.100000000006"/>
    <x v="2"/>
  </r>
  <r>
    <x v="33"/>
    <x v="0"/>
    <n v="20.045000000000002"/>
    <x v="3"/>
    <x v="0"/>
    <x v="3"/>
    <x v="895"/>
    <n v="125.5"/>
    <x v="2"/>
    <b v="1"/>
    <x v="1"/>
    <n v="63629.3"/>
    <x v="1"/>
  </r>
  <r>
    <x v="0"/>
    <x v="1"/>
    <n v="25.555"/>
    <x v="1"/>
    <x v="1"/>
    <x v="2"/>
    <x v="896"/>
    <n v="138.30000000000001"/>
    <x v="2"/>
    <b v="0"/>
    <x v="1"/>
    <n v="69626.5"/>
    <x v="0"/>
  </r>
  <r>
    <x v="1"/>
    <x v="0"/>
    <n v="40.26"/>
    <x v="0"/>
    <x v="1"/>
    <x v="1"/>
    <x v="897"/>
    <n v="127.4"/>
    <x v="1"/>
    <b v="1"/>
    <x v="2"/>
    <n v="195666.45"/>
    <x v="0"/>
  </r>
  <r>
    <x v="0"/>
    <x v="0"/>
    <n v="22.515000000000001"/>
    <x v="0"/>
    <x v="1"/>
    <x v="2"/>
    <x v="898"/>
    <n v="117.6"/>
    <x v="2"/>
    <b v="1"/>
    <x v="2"/>
    <n v="128967.37"/>
    <x v="0"/>
  </r>
  <r>
    <x v="42"/>
    <x v="1"/>
    <n v="22.515000000000001"/>
    <x v="0"/>
    <x v="1"/>
    <x v="3"/>
    <x v="899"/>
    <n v="120"/>
    <x v="1"/>
    <b v="1"/>
    <x v="0"/>
    <n v="163959.94"/>
    <x v="1"/>
  </r>
  <r>
    <x v="8"/>
    <x v="1"/>
    <n v="40.92"/>
    <x v="0"/>
    <x v="0"/>
    <x v="1"/>
    <x v="900"/>
    <n v="116.9"/>
    <x v="1"/>
    <b v="1"/>
    <x v="1"/>
    <n v="121345.8"/>
    <x v="2"/>
  </r>
  <r>
    <x v="22"/>
    <x v="1"/>
    <n v="27.265000000000001"/>
    <x v="2"/>
    <x v="1"/>
    <x v="3"/>
    <x v="901"/>
    <n v="135.6"/>
    <x v="2"/>
    <b v="0"/>
    <x v="2"/>
    <n v="178450.48"/>
    <x v="0"/>
  </r>
  <r>
    <x v="42"/>
    <x v="1"/>
    <n v="36.85"/>
    <x v="0"/>
    <x v="1"/>
    <x v="1"/>
    <x v="902"/>
    <n v="113.3"/>
    <x v="2"/>
    <b v="1"/>
    <x v="2"/>
    <n v="90766.29"/>
    <x v="1"/>
  </r>
  <r>
    <x v="8"/>
    <x v="0"/>
    <n v="35.1"/>
    <x v="0"/>
    <x v="1"/>
    <x v="0"/>
    <x v="903"/>
    <n v="126.7"/>
    <x v="0"/>
    <b v="0"/>
    <x v="2"/>
    <n v="81083.759999999995"/>
    <x v="2"/>
  </r>
  <r>
    <x v="22"/>
    <x v="0"/>
    <n v="29.355"/>
    <x v="3"/>
    <x v="1"/>
    <x v="3"/>
    <x v="904"/>
    <n v="112.5"/>
    <x v="2"/>
    <b v="0"/>
    <x v="1"/>
    <n v="149807.47"/>
    <x v="0"/>
  </r>
  <r>
    <x v="13"/>
    <x v="1"/>
    <n v="32.585000000000001"/>
    <x v="2"/>
    <x v="1"/>
    <x v="3"/>
    <x v="905"/>
    <n v="111.8"/>
    <x v="1"/>
    <b v="0"/>
    <x v="2"/>
    <n v="51651.29"/>
    <x v="0"/>
  </r>
  <r>
    <x v="37"/>
    <x v="0"/>
    <n v="32.340000000000003"/>
    <x v="1"/>
    <x v="1"/>
    <x v="1"/>
    <x v="906"/>
    <n v="120.8"/>
    <x v="1"/>
    <b v="1"/>
    <x v="0"/>
    <n v="183365.33"/>
    <x v="1"/>
  </r>
  <r>
    <x v="19"/>
    <x v="1"/>
    <n v="39.799999999999997"/>
    <x v="2"/>
    <x v="1"/>
    <x v="0"/>
    <x v="907"/>
    <n v="127.4"/>
    <x v="1"/>
    <b v="0"/>
    <x v="0"/>
    <n v="154806.98000000001"/>
    <x v="2"/>
  </r>
  <r>
    <x v="4"/>
    <x v="0"/>
    <n v="24.6"/>
    <x v="0"/>
    <x v="0"/>
    <x v="0"/>
    <x v="908"/>
    <n v="129.1"/>
    <x v="0"/>
    <b v="1"/>
    <x v="2"/>
    <n v="50003.49"/>
    <x v="1"/>
  </r>
  <r>
    <x v="21"/>
    <x v="1"/>
    <n v="28.31"/>
    <x v="1"/>
    <x v="1"/>
    <x v="2"/>
    <x v="909"/>
    <n v="121.4"/>
    <x v="3"/>
    <b v="1"/>
    <x v="2"/>
    <n v="186010.9"/>
    <x v="0"/>
  </r>
  <r>
    <x v="1"/>
    <x v="1"/>
    <n v="31.73"/>
    <x v="0"/>
    <x v="0"/>
    <x v="3"/>
    <x v="910"/>
    <n v="130.1"/>
    <x v="2"/>
    <b v="0"/>
    <x v="2"/>
    <n v="115706.2"/>
    <x v="0"/>
  </r>
  <r>
    <x v="18"/>
    <x v="0"/>
    <n v="26.695"/>
    <x v="2"/>
    <x v="1"/>
    <x v="2"/>
    <x v="911"/>
    <n v="117.8"/>
    <x v="0"/>
    <b v="0"/>
    <x v="1"/>
    <n v="187073.59"/>
    <x v="2"/>
  </r>
  <r>
    <x v="37"/>
    <x v="0"/>
    <n v="27.5"/>
    <x v="1"/>
    <x v="1"/>
    <x v="0"/>
    <x v="912"/>
    <n v="127.4"/>
    <x v="0"/>
    <b v="0"/>
    <x v="1"/>
    <n v="172892.26"/>
    <x v="1"/>
  </r>
  <r>
    <x v="3"/>
    <x v="1"/>
    <n v="24.605"/>
    <x v="3"/>
    <x v="1"/>
    <x v="2"/>
    <x v="913"/>
    <n v="125.1"/>
    <x v="1"/>
    <b v="0"/>
    <x v="0"/>
    <n v="134539.4"/>
    <x v="1"/>
  </r>
  <r>
    <x v="24"/>
    <x v="0"/>
    <n v="33.99"/>
    <x v="0"/>
    <x v="1"/>
    <x v="1"/>
    <x v="914"/>
    <n v="115.2"/>
    <x v="3"/>
    <b v="1"/>
    <x v="0"/>
    <n v="68982.570000000007"/>
    <x v="0"/>
  </r>
  <r>
    <x v="33"/>
    <x v="0"/>
    <n v="26.885000000000002"/>
    <x v="0"/>
    <x v="0"/>
    <x v="2"/>
    <x v="915"/>
    <n v="121.3"/>
    <x v="3"/>
    <b v="0"/>
    <x v="1"/>
    <n v="65842.100000000006"/>
    <x v="1"/>
  </r>
  <r>
    <x v="40"/>
    <x v="1"/>
    <n v="22.895"/>
    <x v="0"/>
    <x v="0"/>
    <x v="3"/>
    <x v="916"/>
    <n v="120.9"/>
    <x v="2"/>
    <b v="0"/>
    <x v="2"/>
    <n v="65114.02"/>
    <x v="1"/>
  </r>
  <r>
    <x v="36"/>
    <x v="0"/>
    <n v="28.2"/>
    <x v="0"/>
    <x v="1"/>
    <x v="0"/>
    <x v="917"/>
    <n v="118.2"/>
    <x v="2"/>
    <b v="0"/>
    <x v="1"/>
    <n v="166177.89000000001"/>
    <x v="2"/>
  </r>
  <r>
    <x v="23"/>
    <x v="0"/>
    <n v="34.21"/>
    <x v="1"/>
    <x v="1"/>
    <x v="1"/>
    <x v="918"/>
    <n v="130.19999999999999"/>
    <x v="1"/>
    <b v="0"/>
    <x v="1"/>
    <n v="161779.79"/>
    <x v="1"/>
  </r>
  <r>
    <x v="10"/>
    <x v="0"/>
    <n v="25"/>
    <x v="0"/>
    <x v="1"/>
    <x v="0"/>
    <x v="919"/>
    <n v="111.8"/>
    <x v="2"/>
    <b v="1"/>
    <x v="0"/>
    <n v="137312.48000000001"/>
    <x v="2"/>
  </r>
  <r>
    <x v="10"/>
    <x v="0"/>
    <n v="33.200000000000003"/>
    <x v="0"/>
    <x v="1"/>
    <x v="0"/>
    <x v="920"/>
    <n v="129"/>
    <x v="2"/>
    <b v="1"/>
    <x v="1"/>
    <n v="116550.3"/>
    <x v="2"/>
  </r>
  <r>
    <x v="26"/>
    <x v="1"/>
    <n v="31"/>
    <x v="1"/>
    <x v="1"/>
    <x v="0"/>
    <x v="921"/>
    <n v="116.6"/>
    <x v="3"/>
    <b v="0"/>
    <x v="1"/>
    <n v="182009.88"/>
    <x v="1"/>
  </r>
  <r>
    <x v="17"/>
    <x v="1"/>
    <n v="35.814999999999998"/>
    <x v="0"/>
    <x v="1"/>
    <x v="2"/>
    <x v="922"/>
    <n v="110.3"/>
    <x v="1"/>
    <b v="1"/>
    <x v="0"/>
    <n v="190120.52"/>
    <x v="1"/>
  </r>
  <r>
    <x v="33"/>
    <x v="1"/>
    <n v="23.2"/>
    <x v="0"/>
    <x v="1"/>
    <x v="0"/>
    <x v="923"/>
    <n v="121.9"/>
    <x v="2"/>
    <b v="0"/>
    <x v="2"/>
    <n v="128871.06"/>
    <x v="1"/>
  </r>
  <r>
    <x v="46"/>
    <x v="1"/>
    <n v="32.11"/>
    <x v="3"/>
    <x v="1"/>
    <x v="3"/>
    <x v="924"/>
    <n v="134.30000000000001"/>
    <x v="1"/>
    <b v="0"/>
    <x v="2"/>
    <n v="140235.48000000001"/>
    <x v="1"/>
  </r>
  <r>
    <x v="0"/>
    <x v="0"/>
    <n v="23.4"/>
    <x v="3"/>
    <x v="1"/>
    <x v="0"/>
    <x v="925"/>
    <n v="121.8"/>
    <x v="3"/>
    <b v="0"/>
    <x v="0"/>
    <n v="180297.60000000001"/>
    <x v="0"/>
  </r>
  <r>
    <x v="38"/>
    <x v="0"/>
    <n v="20.100000000000001"/>
    <x v="1"/>
    <x v="1"/>
    <x v="0"/>
    <x v="926"/>
    <n v="110.3"/>
    <x v="0"/>
    <b v="1"/>
    <x v="1"/>
    <n v="55127.76"/>
    <x v="2"/>
  </r>
  <r>
    <x v="10"/>
    <x v="0"/>
    <n v="39.159999999999997"/>
    <x v="0"/>
    <x v="1"/>
    <x v="1"/>
    <x v="927"/>
    <n v="121.2"/>
    <x v="2"/>
    <b v="1"/>
    <x v="2"/>
    <n v="42204.480000000003"/>
    <x v="2"/>
  </r>
  <r>
    <x v="25"/>
    <x v="1"/>
    <n v="34.21"/>
    <x v="1"/>
    <x v="1"/>
    <x v="1"/>
    <x v="928"/>
    <n v="121"/>
    <x v="2"/>
    <b v="1"/>
    <x v="2"/>
    <n v="61081.26"/>
    <x v="1"/>
  </r>
  <r>
    <x v="22"/>
    <x v="1"/>
    <n v="46.53"/>
    <x v="1"/>
    <x v="1"/>
    <x v="1"/>
    <x v="929"/>
    <n v="127.1"/>
    <x v="1"/>
    <b v="0"/>
    <x v="0"/>
    <n v="52511.32"/>
    <x v="0"/>
  </r>
  <r>
    <x v="11"/>
    <x v="0"/>
    <n v="32.5"/>
    <x v="1"/>
    <x v="1"/>
    <x v="0"/>
    <x v="930"/>
    <n v="127.5"/>
    <x v="2"/>
    <b v="0"/>
    <x v="1"/>
    <n v="150929.92000000001"/>
    <x v="1"/>
  </r>
  <r>
    <x v="6"/>
    <x v="1"/>
    <n v="25.8"/>
    <x v="4"/>
    <x v="1"/>
    <x v="0"/>
    <x v="931"/>
    <n v="129"/>
    <x v="0"/>
    <b v="0"/>
    <x v="0"/>
    <n v="72058.45"/>
    <x v="1"/>
  </r>
  <r>
    <x v="40"/>
    <x v="0"/>
    <n v="35.299999999999997"/>
    <x v="0"/>
    <x v="1"/>
    <x v="0"/>
    <x v="932"/>
    <n v="139.6"/>
    <x v="3"/>
    <b v="1"/>
    <x v="1"/>
    <n v="67925.52"/>
    <x v="1"/>
  </r>
  <r>
    <x v="4"/>
    <x v="1"/>
    <n v="37.18"/>
    <x v="3"/>
    <x v="1"/>
    <x v="1"/>
    <x v="933"/>
    <n v="128.5"/>
    <x v="2"/>
    <b v="0"/>
    <x v="0"/>
    <n v="48782.98"/>
    <x v="1"/>
  </r>
  <r>
    <x v="18"/>
    <x v="0"/>
    <n v="27.5"/>
    <x v="0"/>
    <x v="1"/>
    <x v="0"/>
    <x v="934"/>
    <n v="112.7"/>
    <x v="1"/>
    <b v="1"/>
    <x v="1"/>
    <n v="149247.20000000001"/>
    <x v="2"/>
  </r>
  <r>
    <x v="37"/>
    <x v="1"/>
    <n v="29.734999999999999"/>
    <x v="3"/>
    <x v="1"/>
    <x v="3"/>
    <x v="935"/>
    <n v="139.9"/>
    <x v="1"/>
    <b v="0"/>
    <x v="1"/>
    <n v="165057.42000000001"/>
    <x v="1"/>
  </r>
  <r>
    <x v="11"/>
    <x v="0"/>
    <n v="24.225000000000001"/>
    <x v="4"/>
    <x v="1"/>
    <x v="2"/>
    <x v="936"/>
    <n v="134.6"/>
    <x v="2"/>
    <b v="0"/>
    <x v="0"/>
    <n v="156320.29999999999"/>
    <x v="1"/>
  </r>
  <r>
    <x v="1"/>
    <x v="1"/>
    <n v="26.18"/>
    <x v="3"/>
    <x v="1"/>
    <x v="1"/>
    <x v="937"/>
    <n v="133.9"/>
    <x v="0"/>
    <b v="0"/>
    <x v="2"/>
    <n v="132827.04999999999"/>
    <x v="0"/>
  </r>
  <r>
    <x v="32"/>
    <x v="1"/>
    <n v="29.48"/>
    <x v="0"/>
    <x v="1"/>
    <x v="1"/>
    <x v="938"/>
    <n v="120.5"/>
    <x v="1"/>
    <b v="1"/>
    <x v="0"/>
    <n v="146513.87"/>
    <x v="2"/>
  </r>
  <r>
    <x v="1"/>
    <x v="1"/>
    <n v="23.21"/>
    <x v="0"/>
    <x v="1"/>
    <x v="1"/>
    <x v="939"/>
    <n v="133"/>
    <x v="3"/>
    <b v="0"/>
    <x v="2"/>
    <n v="59913.19"/>
    <x v="0"/>
  </r>
  <r>
    <x v="46"/>
    <x v="0"/>
    <n v="46.09"/>
    <x v="1"/>
    <x v="1"/>
    <x v="1"/>
    <x v="940"/>
    <n v="117.5"/>
    <x v="1"/>
    <b v="1"/>
    <x v="0"/>
    <n v="100230.24"/>
    <x v="1"/>
  </r>
  <r>
    <x v="1"/>
    <x v="0"/>
    <n v="40.185000000000002"/>
    <x v="0"/>
    <x v="1"/>
    <x v="3"/>
    <x v="941"/>
    <n v="137"/>
    <x v="0"/>
    <b v="0"/>
    <x v="0"/>
    <n v="196161.02"/>
    <x v="0"/>
  </r>
  <r>
    <x v="0"/>
    <x v="1"/>
    <n v="22.61"/>
    <x v="0"/>
    <x v="1"/>
    <x v="2"/>
    <x v="942"/>
    <n v="119.4"/>
    <x v="2"/>
    <b v="0"/>
    <x v="0"/>
    <n v="192898.81"/>
    <x v="0"/>
  </r>
  <r>
    <x v="10"/>
    <x v="1"/>
    <n v="39.93"/>
    <x v="0"/>
    <x v="1"/>
    <x v="1"/>
    <x v="943"/>
    <n v="110.7"/>
    <x v="3"/>
    <b v="1"/>
    <x v="1"/>
    <n v="66426.13"/>
    <x v="2"/>
  </r>
  <r>
    <x v="12"/>
    <x v="0"/>
    <n v="35.799999999999997"/>
    <x v="1"/>
    <x v="1"/>
    <x v="0"/>
    <x v="944"/>
    <n v="137.1"/>
    <x v="3"/>
    <b v="1"/>
    <x v="2"/>
    <n v="67904.91"/>
    <x v="2"/>
  </r>
  <r>
    <x v="45"/>
    <x v="1"/>
    <n v="35.799999999999997"/>
    <x v="3"/>
    <x v="1"/>
    <x v="0"/>
    <x v="945"/>
    <n v="113.2"/>
    <x v="1"/>
    <b v="0"/>
    <x v="0"/>
    <n v="44601.08"/>
    <x v="1"/>
  </r>
  <r>
    <x v="7"/>
    <x v="1"/>
    <n v="34.200000000000003"/>
    <x v="1"/>
    <x v="0"/>
    <x v="3"/>
    <x v="946"/>
    <n v="114.7"/>
    <x v="0"/>
    <b v="0"/>
    <x v="0"/>
    <n v="43555.49"/>
    <x v="1"/>
  </r>
  <r>
    <x v="45"/>
    <x v="1"/>
    <n v="31.254999999999999"/>
    <x v="0"/>
    <x v="1"/>
    <x v="2"/>
    <x v="947"/>
    <n v="126.9"/>
    <x v="3"/>
    <b v="1"/>
    <x v="0"/>
    <n v="82312.14"/>
    <x v="1"/>
  </r>
  <r>
    <x v="9"/>
    <x v="1"/>
    <n v="29.7"/>
    <x v="2"/>
    <x v="0"/>
    <x v="0"/>
    <x v="948"/>
    <n v="115.1"/>
    <x v="1"/>
    <b v="0"/>
    <x v="2"/>
    <n v="53024.05"/>
    <x v="0"/>
  </r>
  <r>
    <x v="38"/>
    <x v="1"/>
    <n v="18.335000000000001"/>
    <x v="0"/>
    <x v="1"/>
    <x v="3"/>
    <x v="949"/>
    <n v="122.9"/>
    <x v="1"/>
    <b v="0"/>
    <x v="0"/>
    <n v="198219.35"/>
    <x v="2"/>
  </r>
  <r>
    <x v="44"/>
    <x v="1"/>
    <n v="42.9"/>
    <x v="3"/>
    <x v="0"/>
    <x v="1"/>
    <x v="950"/>
    <n v="128.69999999999999"/>
    <x v="1"/>
    <b v="0"/>
    <x v="1"/>
    <n v="169847.83"/>
    <x v="2"/>
  </r>
  <r>
    <x v="16"/>
    <x v="0"/>
    <n v="28.405000000000001"/>
    <x v="1"/>
    <x v="1"/>
    <x v="2"/>
    <x v="951"/>
    <n v="116.3"/>
    <x v="0"/>
    <b v="1"/>
    <x v="1"/>
    <n v="62502.28"/>
    <x v="1"/>
  </r>
  <r>
    <x v="37"/>
    <x v="1"/>
    <n v="30.2"/>
    <x v="3"/>
    <x v="0"/>
    <x v="0"/>
    <x v="952"/>
    <n v="111.5"/>
    <x v="3"/>
    <b v="0"/>
    <x v="1"/>
    <n v="43026.75"/>
    <x v="1"/>
  </r>
  <r>
    <x v="17"/>
    <x v="1"/>
    <n v="27.835000000000001"/>
    <x v="1"/>
    <x v="0"/>
    <x v="2"/>
    <x v="953"/>
    <n v="114.3"/>
    <x v="1"/>
    <b v="1"/>
    <x v="2"/>
    <n v="57447.43"/>
    <x v="1"/>
  </r>
  <r>
    <x v="5"/>
    <x v="1"/>
    <n v="39.49"/>
    <x v="1"/>
    <x v="1"/>
    <x v="1"/>
    <x v="954"/>
    <n v="127.9"/>
    <x v="3"/>
    <b v="1"/>
    <x v="0"/>
    <n v="96893.57"/>
    <x v="1"/>
  </r>
  <r>
    <x v="41"/>
    <x v="1"/>
    <n v="30.8"/>
    <x v="1"/>
    <x v="0"/>
    <x v="1"/>
    <x v="955"/>
    <n v="121.8"/>
    <x v="0"/>
    <b v="1"/>
    <x v="1"/>
    <n v="38014.79"/>
    <x v="2"/>
  </r>
  <r>
    <x v="24"/>
    <x v="1"/>
    <n v="26.79"/>
    <x v="1"/>
    <x v="1"/>
    <x v="2"/>
    <x v="956"/>
    <n v="134.80000000000001"/>
    <x v="3"/>
    <b v="1"/>
    <x v="0"/>
    <n v="116672.81"/>
    <x v="0"/>
  </r>
  <r>
    <x v="33"/>
    <x v="1"/>
    <n v="34.96"/>
    <x v="1"/>
    <x v="0"/>
    <x v="3"/>
    <x v="957"/>
    <n v="129.6"/>
    <x v="2"/>
    <b v="0"/>
    <x v="0"/>
    <n v="171410.27"/>
    <x v="1"/>
  </r>
  <r>
    <x v="29"/>
    <x v="1"/>
    <n v="36.67"/>
    <x v="1"/>
    <x v="1"/>
    <x v="2"/>
    <x v="958"/>
    <n v="120"/>
    <x v="1"/>
    <b v="0"/>
    <x v="1"/>
    <n v="42057.68"/>
    <x v="1"/>
  </r>
  <r>
    <x v="0"/>
    <x v="0"/>
    <n v="39.615000000000002"/>
    <x v="1"/>
    <x v="1"/>
    <x v="2"/>
    <x v="959"/>
    <n v="126.1"/>
    <x v="2"/>
    <b v="1"/>
    <x v="1"/>
    <n v="55245.11"/>
    <x v="0"/>
  </r>
  <r>
    <x v="39"/>
    <x v="0"/>
    <n v="25.9"/>
    <x v="0"/>
    <x v="1"/>
    <x v="0"/>
    <x v="960"/>
    <n v="134.4"/>
    <x v="2"/>
    <b v="1"/>
    <x v="0"/>
    <n v="138806.28"/>
    <x v="0"/>
  </r>
  <r>
    <x v="19"/>
    <x v="0"/>
    <n v="35.200000000000003"/>
    <x v="1"/>
    <x v="1"/>
    <x v="1"/>
    <x v="961"/>
    <n v="111"/>
    <x v="1"/>
    <b v="0"/>
    <x v="1"/>
    <n v="41709.269999999997"/>
    <x v="2"/>
  </r>
  <r>
    <x v="6"/>
    <x v="1"/>
    <n v="24.795000000000002"/>
    <x v="2"/>
    <x v="1"/>
    <x v="3"/>
    <x v="962"/>
    <n v="131.9"/>
    <x v="0"/>
    <b v="0"/>
    <x v="2"/>
    <n v="144846.32"/>
    <x v="1"/>
  </r>
  <r>
    <x v="14"/>
    <x v="1"/>
    <n v="36.765000000000001"/>
    <x v="3"/>
    <x v="1"/>
    <x v="2"/>
    <x v="963"/>
    <n v="136.5"/>
    <x v="1"/>
    <b v="0"/>
    <x v="2"/>
    <n v="68194.97"/>
    <x v="2"/>
  </r>
  <r>
    <x v="23"/>
    <x v="1"/>
    <n v="27.1"/>
    <x v="1"/>
    <x v="1"/>
    <x v="0"/>
    <x v="964"/>
    <n v="112.2"/>
    <x v="3"/>
    <b v="1"/>
    <x v="2"/>
    <n v="67423.28"/>
    <x v="1"/>
  </r>
  <r>
    <x v="44"/>
    <x v="1"/>
    <n v="24.795000000000002"/>
    <x v="3"/>
    <x v="0"/>
    <x v="2"/>
    <x v="965"/>
    <n v="112"/>
    <x v="2"/>
    <b v="0"/>
    <x v="0"/>
    <n v="70089.72"/>
    <x v="2"/>
  </r>
  <r>
    <x v="37"/>
    <x v="1"/>
    <n v="25.364999999999998"/>
    <x v="1"/>
    <x v="1"/>
    <x v="2"/>
    <x v="966"/>
    <n v="137.1"/>
    <x v="2"/>
    <b v="0"/>
    <x v="2"/>
    <n v="81969.75"/>
    <x v="1"/>
  </r>
  <r>
    <x v="28"/>
    <x v="1"/>
    <n v="25.745000000000001"/>
    <x v="3"/>
    <x v="1"/>
    <x v="3"/>
    <x v="967"/>
    <n v="137.30000000000001"/>
    <x v="1"/>
    <b v="0"/>
    <x v="2"/>
    <n v="130322.53"/>
    <x v="0"/>
  </r>
  <r>
    <x v="11"/>
    <x v="0"/>
    <n v="34.32"/>
    <x v="4"/>
    <x v="1"/>
    <x v="1"/>
    <x v="968"/>
    <n v="129.69999999999999"/>
    <x v="3"/>
    <b v="0"/>
    <x v="1"/>
    <n v="69299.350000000006"/>
    <x v="1"/>
  </r>
  <r>
    <x v="46"/>
    <x v="0"/>
    <n v="28.16"/>
    <x v="2"/>
    <x v="1"/>
    <x v="1"/>
    <x v="969"/>
    <n v="115.1"/>
    <x v="2"/>
    <b v="1"/>
    <x v="1"/>
    <n v="147664.28"/>
    <x v="1"/>
  </r>
  <r>
    <x v="17"/>
    <x v="0"/>
    <n v="23.56"/>
    <x v="0"/>
    <x v="1"/>
    <x v="3"/>
    <x v="970"/>
    <n v="122.1"/>
    <x v="2"/>
    <b v="1"/>
    <x v="2"/>
    <n v="192192.02"/>
    <x v="1"/>
  </r>
  <r>
    <x v="21"/>
    <x v="0"/>
    <n v="20.234999999999999"/>
    <x v="0"/>
    <x v="1"/>
    <x v="2"/>
    <x v="971"/>
    <n v="138.4"/>
    <x v="2"/>
    <b v="0"/>
    <x v="1"/>
    <n v="184498.94"/>
    <x v="0"/>
  </r>
  <r>
    <x v="0"/>
    <x v="0"/>
    <n v="40.5"/>
    <x v="0"/>
    <x v="1"/>
    <x v="0"/>
    <x v="972"/>
    <n v="126.6"/>
    <x v="2"/>
    <b v="1"/>
    <x v="1"/>
    <n v="44294.43"/>
    <x v="0"/>
  </r>
  <r>
    <x v="22"/>
    <x v="1"/>
    <n v="35.42"/>
    <x v="0"/>
    <x v="1"/>
    <x v="1"/>
    <x v="973"/>
    <n v="122.1"/>
    <x v="0"/>
    <b v="0"/>
    <x v="0"/>
    <n v="154310"/>
    <x v="0"/>
  </r>
  <r>
    <x v="39"/>
    <x v="1"/>
    <n v="22.895"/>
    <x v="0"/>
    <x v="0"/>
    <x v="3"/>
    <x v="974"/>
    <n v="136.19999999999999"/>
    <x v="1"/>
    <b v="0"/>
    <x v="0"/>
    <n v="92617.29"/>
    <x v="0"/>
  </r>
  <r>
    <x v="29"/>
    <x v="1"/>
    <n v="40.15"/>
    <x v="0"/>
    <x v="1"/>
    <x v="1"/>
    <x v="975"/>
    <n v="132.5"/>
    <x v="0"/>
    <b v="1"/>
    <x v="2"/>
    <n v="67301.88"/>
    <x v="1"/>
  </r>
  <r>
    <x v="22"/>
    <x v="1"/>
    <n v="29.15"/>
    <x v="1"/>
    <x v="1"/>
    <x v="1"/>
    <x v="976"/>
    <n v="114.5"/>
    <x v="3"/>
    <b v="0"/>
    <x v="0"/>
    <n v="83202.02"/>
    <x v="0"/>
  </r>
  <r>
    <x v="40"/>
    <x v="0"/>
    <n v="39.994999999999997"/>
    <x v="2"/>
    <x v="1"/>
    <x v="3"/>
    <x v="977"/>
    <n v="120.7"/>
    <x v="3"/>
    <b v="1"/>
    <x v="2"/>
    <n v="91613.53"/>
    <x v="1"/>
  </r>
  <r>
    <x v="27"/>
    <x v="0"/>
    <n v="29.92"/>
    <x v="0"/>
    <x v="1"/>
    <x v="1"/>
    <x v="978"/>
    <n v="126.6"/>
    <x v="1"/>
    <b v="1"/>
    <x v="1"/>
    <n v="83399.179999999993"/>
    <x v="1"/>
  </r>
  <r>
    <x v="41"/>
    <x v="1"/>
    <n v="25.46"/>
    <x v="1"/>
    <x v="1"/>
    <x v="3"/>
    <x v="979"/>
    <n v="114.8"/>
    <x v="0"/>
    <b v="1"/>
    <x v="0"/>
    <n v="86516.67"/>
    <x v="2"/>
  </r>
  <r>
    <x v="17"/>
    <x v="1"/>
    <n v="21.375"/>
    <x v="0"/>
    <x v="1"/>
    <x v="3"/>
    <x v="980"/>
    <n v="119"/>
    <x v="3"/>
    <b v="0"/>
    <x v="0"/>
    <n v="129613.74"/>
    <x v="1"/>
  </r>
  <r>
    <x v="5"/>
    <x v="1"/>
    <n v="25.9"/>
    <x v="2"/>
    <x v="0"/>
    <x v="0"/>
    <x v="981"/>
    <n v="115.4"/>
    <x v="1"/>
    <b v="1"/>
    <x v="0"/>
    <n v="46437.64"/>
    <x v="1"/>
  </r>
  <r>
    <x v="13"/>
    <x v="0"/>
    <n v="30.59"/>
    <x v="1"/>
    <x v="1"/>
    <x v="3"/>
    <x v="982"/>
    <n v="123.1"/>
    <x v="1"/>
    <b v="1"/>
    <x v="1"/>
    <n v="48564.67"/>
    <x v="0"/>
  </r>
  <r>
    <x v="35"/>
    <x v="1"/>
    <n v="30.114999999999998"/>
    <x v="4"/>
    <x v="1"/>
    <x v="3"/>
    <x v="983"/>
    <n v="113.4"/>
    <x v="3"/>
    <b v="1"/>
    <x v="2"/>
    <n v="77967.53"/>
    <x v="0"/>
  </r>
  <r>
    <x v="37"/>
    <x v="0"/>
    <n v="25.8"/>
    <x v="1"/>
    <x v="1"/>
    <x v="0"/>
    <x v="984"/>
    <n v="129.19999999999999"/>
    <x v="0"/>
    <b v="0"/>
    <x v="2"/>
    <n v="179942.27"/>
    <x v="1"/>
  </r>
  <r>
    <x v="33"/>
    <x v="1"/>
    <n v="30.114999999999998"/>
    <x v="2"/>
    <x v="1"/>
    <x v="2"/>
    <x v="985"/>
    <n v="113.8"/>
    <x v="1"/>
    <b v="1"/>
    <x v="2"/>
    <n v="84609.919999999998"/>
    <x v="1"/>
  </r>
  <r>
    <x v="40"/>
    <x v="0"/>
    <n v="27.645"/>
    <x v="1"/>
    <x v="1"/>
    <x v="2"/>
    <x v="986"/>
    <n v="136.69999999999999"/>
    <x v="3"/>
    <b v="1"/>
    <x v="1"/>
    <n v="83296.990000000005"/>
    <x v="1"/>
  </r>
  <r>
    <x v="17"/>
    <x v="1"/>
    <n v="34.674999999999997"/>
    <x v="0"/>
    <x v="1"/>
    <x v="3"/>
    <x v="987"/>
    <n v="122.2"/>
    <x v="3"/>
    <b v="1"/>
    <x v="1"/>
    <n v="91566.51"/>
    <x v="1"/>
  </r>
  <r>
    <x v="24"/>
    <x v="0"/>
    <n v="20.52"/>
    <x v="0"/>
    <x v="0"/>
    <x v="3"/>
    <x v="988"/>
    <n v="136.19999999999999"/>
    <x v="2"/>
    <b v="1"/>
    <x v="1"/>
    <n v="150787.21"/>
    <x v="0"/>
  </r>
  <r>
    <x v="22"/>
    <x v="0"/>
    <n v="19.8"/>
    <x v="1"/>
    <x v="1"/>
    <x v="0"/>
    <x v="989"/>
    <n v="116.2"/>
    <x v="1"/>
    <b v="0"/>
    <x v="1"/>
    <n v="133047.76"/>
    <x v="0"/>
  </r>
  <r>
    <x v="26"/>
    <x v="0"/>
    <n v="27.835000000000001"/>
    <x v="3"/>
    <x v="1"/>
    <x v="3"/>
    <x v="990"/>
    <n v="132.5"/>
    <x v="2"/>
    <b v="1"/>
    <x v="0"/>
    <n v="72980.73"/>
    <x v="1"/>
  </r>
  <r>
    <x v="46"/>
    <x v="0"/>
    <n v="31.6"/>
    <x v="3"/>
    <x v="1"/>
    <x v="0"/>
    <x v="991"/>
    <n v="127.5"/>
    <x v="0"/>
    <b v="1"/>
    <x v="1"/>
    <n v="157923.32"/>
    <x v="1"/>
  </r>
  <r>
    <x v="26"/>
    <x v="1"/>
    <n v="28.27"/>
    <x v="1"/>
    <x v="1"/>
    <x v="1"/>
    <x v="992"/>
    <n v="125.6"/>
    <x v="0"/>
    <b v="0"/>
    <x v="0"/>
    <n v="76087.13"/>
    <x v="1"/>
  </r>
  <r>
    <x v="13"/>
    <x v="0"/>
    <n v="20.045000000000002"/>
    <x v="2"/>
    <x v="0"/>
    <x v="2"/>
    <x v="993"/>
    <n v="124.4"/>
    <x v="0"/>
    <b v="0"/>
    <x v="0"/>
    <n v="178696.53"/>
    <x v="0"/>
  </r>
  <r>
    <x v="11"/>
    <x v="0"/>
    <n v="23.274999999999999"/>
    <x v="2"/>
    <x v="1"/>
    <x v="3"/>
    <x v="994"/>
    <n v="111.9"/>
    <x v="1"/>
    <b v="1"/>
    <x v="0"/>
    <n v="30683.82"/>
    <x v="1"/>
  </r>
  <r>
    <x v="11"/>
    <x v="0"/>
    <n v="34.1"/>
    <x v="2"/>
    <x v="1"/>
    <x v="0"/>
    <x v="995"/>
    <n v="114"/>
    <x v="3"/>
    <b v="0"/>
    <x v="1"/>
    <n v="68139.5"/>
    <x v="1"/>
  </r>
  <r>
    <x v="19"/>
    <x v="0"/>
    <n v="36.85"/>
    <x v="0"/>
    <x v="1"/>
    <x v="1"/>
    <x v="996"/>
    <n v="110.7"/>
    <x v="2"/>
    <b v="1"/>
    <x v="2"/>
    <n v="54254.7"/>
    <x v="2"/>
  </r>
  <r>
    <x v="3"/>
    <x v="0"/>
    <n v="36.29"/>
    <x v="2"/>
    <x v="1"/>
    <x v="3"/>
    <x v="997"/>
    <n v="139"/>
    <x v="2"/>
    <b v="0"/>
    <x v="0"/>
    <n v="121844.63"/>
    <x v="1"/>
  </r>
  <r>
    <x v="27"/>
    <x v="0"/>
    <n v="26.885000000000002"/>
    <x v="0"/>
    <x v="1"/>
    <x v="2"/>
    <x v="998"/>
    <n v="122.9"/>
    <x v="3"/>
    <b v="0"/>
    <x v="2"/>
    <n v="171445.5"/>
    <x v="1"/>
  </r>
  <r>
    <x v="16"/>
    <x v="1"/>
    <n v="22.99"/>
    <x v="3"/>
    <x v="0"/>
    <x v="2"/>
    <x v="999"/>
    <n v="119.8"/>
    <x v="1"/>
    <b v="1"/>
    <x v="1"/>
    <n v="101262.12"/>
    <x v="1"/>
  </r>
  <r>
    <x v="24"/>
    <x v="1"/>
    <n v="32.700000000000003"/>
    <x v="0"/>
    <x v="0"/>
    <x v="0"/>
    <x v="1000"/>
    <n v="118.5"/>
    <x v="0"/>
    <b v="1"/>
    <x v="2"/>
    <n v="133262.64000000001"/>
    <x v="0"/>
  </r>
  <r>
    <x v="24"/>
    <x v="1"/>
    <n v="25.8"/>
    <x v="0"/>
    <x v="1"/>
    <x v="0"/>
    <x v="1001"/>
    <n v="134"/>
    <x v="3"/>
    <b v="0"/>
    <x v="2"/>
    <n v="184948.53"/>
    <x v="0"/>
  </r>
  <r>
    <x v="29"/>
    <x v="1"/>
    <n v="29.6"/>
    <x v="0"/>
    <x v="1"/>
    <x v="0"/>
    <x v="1002"/>
    <n v="115"/>
    <x v="2"/>
    <b v="0"/>
    <x v="0"/>
    <n v="115935.26"/>
    <x v="1"/>
  </r>
  <r>
    <x v="43"/>
    <x v="1"/>
    <n v="19.190000000000001"/>
    <x v="1"/>
    <x v="1"/>
    <x v="3"/>
    <x v="1003"/>
    <n v="118.5"/>
    <x v="0"/>
    <b v="0"/>
    <x v="0"/>
    <n v="66429.88"/>
    <x v="1"/>
  </r>
  <r>
    <x v="39"/>
    <x v="1"/>
    <n v="31.73"/>
    <x v="3"/>
    <x v="1"/>
    <x v="2"/>
    <x v="1004"/>
    <n v="120"/>
    <x v="2"/>
    <b v="0"/>
    <x v="0"/>
    <n v="163906.75"/>
    <x v="0"/>
  </r>
  <r>
    <x v="2"/>
    <x v="1"/>
    <n v="29.26"/>
    <x v="3"/>
    <x v="1"/>
    <x v="3"/>
    <x v="1005"/>
    <n v="113.9"/>
    <x v="2"/>
    <b v="1"/>
    <x v="2"/>
    <n v="189815.16"/>
    <x v="0"/>
  </r>
  <r>
    <x v="43"/>
    <x v="1"/>
    <n v="28.215"/>
    <x v="2"/>
    <x v="0"/>
    <x v="2"/>
    <x v="1006"/>
    <n v="135.6"/>
    <x v="3"/>
    <b v="0"/>
    <x v="0"/>
    <n v="119622.74"/>
    <x v="1"/>
  </r>
  <r>
    <x v="9"/>
    <x v="1"/>
    <n v="24.984999999999999"/>
    <x v="3"/>
    <x v="1"/>
    <x v="3"/>
    <x v="1007"/>
    <n v="118.5"/>
    <x v="1"/>
    <b v="1"/>
    <x v="1"/>
    <n v="87738.64"/>
    <x v="0"/>
  </r>
  <r>
    <x v="44"/>
    <x v="1"/>
    <n v="27.74"/>
    <x v="1"/>
    <x v="1"/>
    <x v="3"/>
    <x v="1008"/>
    <n v="128.19999999999999"/>
    <x v="0"/>
    <b v="1"/>
    <x v="2"/>
    <n v="179661.47"/>
    <x v="2"/>
  </r>
  <r>
    <x v="29"/>
    <x v="0"/>
    <n v="22.8"/>
    <x v="0"/>
    <x v="1"/>
    <x v="0"/>
    <x v="1009"/>
    <n v="128.6"/>
    <x v="0"/>
    <b v="1"/>
    <x v="2"/>
    <n v="190778.19"/>
    <x v="1"/>
  </r>
  <r>
    <x v="33"/>
    <x v="1"/>
    <n v="20.13"/>
    <x v="3"/>
    <x v="0"/>
    <x v="1"/>
    <x v="1010"/>
    <n v="126.8"/>
    <x v="1"/>
    <b v="0"/>
    <x v="2"/>
    <n v="182222.89"/>
    <x v="1"/>
  </r>
  <r>
    <x v="36"/>
    <x v="0"/>
    <n v="33.33"/>
    <x v="5"/>
    <x v="1"/>
    <x v="1"/>
    <x v="1011"/>
    <n v="125.7"/>
    <x v="3"/>
    <b v="0"/>
    <x v="2"/>
    <n v="113296.76"/>
    <x v="2"/>
  </r>
  <r>
    <x v="29"/>
    <x v="1"/>
    <n v="32.299999999999997"/>
    <x v="1"/>
    <x v="1"/>
    <x v="2"/>
    <x v="1012"/>
    <n v="119.6"/>
    <x v="2"/>
    <b v="1"/>
    <x v="1"/>
    <n v="104933.44"/>
    <x v="1"/>
  </r>
  <r>
    <x v="26"/>
    <x v="0"/>
    <n v="27.6"/>
    <x v="0"/>
    <x v="1"/>
    <x v="0"/>
    <x v="1013"/>
    <n v="136.69999999999999"/>
    <x v="1"/>
    <b v="1"/>
    <x v="1"/>
    <n v="140843.57999999999"/>
    <x v="1"/>
  </r>
  <r>
    <x v="18"/>
    <x v="1"/>
    <n v="25.46"/>
    <x v="0"/>
    <x v="1"/>
    <x v="2"/>
    <x v="1014"/>
    <n v="129"/>
    <x v="1"/>
    <b v="1"/>
    <x v="2"/>
    <n v="149689.46"/>
    <x v="2"/>
  </r>
  <r>
    <x v="0"/>
    <x v="0"/>
    <n v="24.605"/>
    <x v="1"/>
    <x v="1"/>
    <x v="2"/>
    <x v="1015"/>
    <n v="112.9"/>
    <x v="3"/>
    <b v="0"/>
    <x v="2"/>
    <n v="69528.009999999995"/>
    <x v="0"/>
  </r>
  <r>
    <x v="22"/>
    <x v="0"/>
    <n v="34.200000000000003"/>
    <x v="3"/>
    <x v="1"/>
    <x v="0"/>
    <x v="1016"/>
    <n v="111.9"/>
    <x v="1"/>
    <b v="1"/>
    <x v="0"/>
    <n v="149194.15"/>
    <x v="0"/>
  </r>
  <r>
    <x v="41"/>
    <x v="0"/>
    <n v="35.814999999999998"/>
    <x v="2"/>
    <x v="1"/>
    <x v="2"/>
    <x v="1017"/>
    <n v="112.4"/>
    <x v="1"/>
    <b v="1"/>
    <x v="1"/>
    <n v="126609.95"/>
    <x v="2"/>
  </r>
  <r>
    <x v="28"/>
    <x v="0"/>
    <n v="32.68"/>
    <x v="3"/>
    <x v="1"/>
    <x v="2"/>
    <x v="1018"/>
    <n v="138.80000000000001"/>
    <x v="1"/>
    <b v="0"/>
    <x v="0"/>
    <n v="100464.56"/>
    <x v="0"/>
  </r>
  <r>
    <x v="44"/>
    <x v="1"/>
    <n v="37"/>
    <x v="0"/>
    <x v="1"/>
    <x v="0"/>
    <x v="1019"/>
    <n v="134.30000000000001"/>
    <x v="0"/>
    <b v="1"/>
    <x v="2"/>
    <n v="187244.6"/>
    <x v="2"/>
  </r>
  <r>
    <x v="21"/>
    <x v="0"/>
    <n v="31.02"/>
    <x v="2"/>
    <x v="0"/>
    <x v="1"/>
    <x v="1020"/>
    <n v="112.8"/>
    <x v="0"/>
    <b v="0"/>
    <x v="0"/>
    <n v="123266.85"/>
    <x v="0"/>
  </r>
  <r>
    <x v="43"/>
    <x v="1"/>
    <n v="36.08"/>
    <x v="1"/>
    <x v="0"/>
    <x v="1"/>
    <x v="1021"/>
    <n v="118.3"/>
    <x v="0"/>
    <b v="1"/>
    <x v="1"/>
    <n v="85074.28"/>
    <x v="1"/>
  </r>
  <r>
    <x v="1"/>
    <x v="1"/>
    <n v="23.32"/>
    <x v="1"/>
    <x v="1"/>
    <x v="1"/>
    <x v="1022"/>
    <n v="113.4"/>
    <x v="0"/>
    <b v="1"/>
    <x v="2"/>
    <n v="185522.95"/>
    <x v="0"/>
  </r>
  <r>
    <x v="43"/>
    <x v="0"/>
    <n v="45.32"/>
    <x v="1"/>
    <x v="1"/>
    <x v="1"/>
    <x v="1023"/>
    <n v="126.8"/>
    <x v="3"/>
    <b v="0"/>
    <x v="0"/>
    <n v="87942.75"/>
    <x v="1"/>
  </r>
  <r>
    <x v="28"/>
    <x v="0"/>
    <n v="34.6"/>
    <x v="0"/>
    <x v="1"/>
    <x v="0"/>
    <x v="1024"/>
    <n v="126.2"/>
    <x v="1"/>
    <b v="0"/>
    <x v="0"/>
    <n v="170877.3"/>
    <x v="0"/>
  </r>
  <r>
    <x v="0"/>
    <x v="1"/>
    <n v="26.03"/>
    <x v="1"/>
    <x v="0"/>
    <x v="2"/>
    <x v="1025"/>
    <n v="134.80000000000001"/>
    <x v="1"/>
    <b v="1"/>
    <x v="1"/>
    <n v="60777.79"/>
    <x v="0"/>
  </r>
  <r>
    <x v="15"/>
    <x v="1"/>
    <n v="18.715"/>
    <x v="0"/>
    <x v="1"/>
    <x v="2"/>
    <x v="1026"/>
    <n v="122.7"/>
    <x v="3"/>
    <b v="0"/>
    <x v="2"/>
    <n v="120055.1"/>
    <x v="0"/>
  </r>
  <r>
    <x v="41"/>
    <x v="1"/>
    <n v="31.6"/>
    <x v="0"/>
    <x v="1"/>
    <x v="0"/>
    <x v="1027"/>
    <n v="114"/>
    <x v="1"/>
    <b v="0"/>
    <x v="1"/>
    <n v="154034.54"/>
    <x v="2"/>
  </r>
  <r>
    <x v="7"/>
    <x v="0"/>
    <n v="17.29"/>
    <x v="3"/>
    <x v="1"/>
    <x v="3"/>
    <x v="1028"/>
    <n v="132"/>
    <x v="2"/>
    <b v="0"/>
    <x v="0"/>
    <n v="114722.98"/>
    <x v="1"/>
  </r>
  <r>
    <x v="6"/>
    <x v="0"/>
    <n v="23.655000000000001"/>
    <x v="1"/>
    <x v="0"/>
    <x v="2"/>
    <x v="1029"/>
    <n v="122.2"/>
    <x v="3"/>
    <b v="0"/>
    <x v="2"/>
    <n v="188022.56"/>
    <x v="1"/>
  </r>
  <r>
    <x v="20"/>
    <x v="0"/>
    <n v="35.200000000000003"/>
    <x v="0"/>
    <x v="0"/>
    <x v="1"/>
    <x v="1030"/>
    <n v="114"/>
    <x v="2"/>
    <b v="0"/>
    <x v="1"/>
    <n v="170083"/>
    <x v="2"/>
  </r>
  <r>
    <x v="16"/>
    <x v="0"/>
    <n v="27.93"/>
    <x v="0"/>
    <x v="1"/>
    <x v="3"/>
    <x v="1031"/>
    <n v="120.7"/>
    <x v="2"/>
    <b v="1"/>
    <x v="2"/>
    <n v="33019.949999999997"/>
    <x v="1"/>
  </r>
  <r>
    <x v="1"/>
    <x v="1"/>
    <n v="21.565000000000001"/>
    <x v="0"/>
    <x v="0"/>
    <x v="3"/>
    <x v="1032"/>
    <n v="116.6"/>
    <x v="0"/>
    <b v="1"/>
    <x v="0"/>
    <n v="126181.85"/>
    <x v="0"/>
  </r>
  <r>
    <x v="36"/>
    <x v="1"/>
    <n v="38.380000000000003"/>
    <x v="0"/>
    <x v="1"/>
    <x v="2"/>
    <x v="1033"/>
    <n v="125"/>
    <x v="3"/>
    <b v="0"/>
    <x v="0"/>
    <n v="197369.08"/>
    <x v="2"/>
  </r>
  <r>
    <x v="41"/>
    <x v="0"/>
    <n v="23"/>
    <x v="2"/>
    <x v="1"/>
    <x v="0"/>
    <x v="1034"/>
    <n v="114.7"/>
    <x v="2"/>
    <b v="0"/>
    <x v="0"/>
    <n v="98031.34"/>
    <x v="2"/>
  </r>
  <r>
    <x v="21"/>
    <x v="1"/>
    <n v="37.07"/>
    <x v="3"/>
    <x v="0"/>
    <x v="1"/>
    <x v="1035"/>
    <n v="131.30000000000001"/>
    <x v="1"/>
    <b v="1"/>
    <x v="0"/>
    <n v="97272.63"/>
    <x v="0"/>
  </r>
  <r>
    <x v="40"/>
    <x v="0"/>
    <n v="30.495000000000001"/>
    <x v="1"/>
    <x v="0"/>
    <x v="2"/>
    <x v="1036"/>
    <n v="119.3"/>
    <x v="3"/>
    <b v="0"/>
    <x v="1"/>
    <n v="153804.29"/>
    <x v="1"/>
  </r>
  <r>
    <x v="21"/>
    <x v="1"/>
    <n v="28.88"/>
    <x v="0"/>
    <x v="1"/>
    <x v="3"/>
    <x v="1037"/>
    <n v="139.80000000000001"/>
    <x v="1"/>
    <b v="1"/>
    <x v="0"/>
    <n v="99544.16"/>
    <x v="0"/>
  </r>
  <r>
    <x v="0"/>
    <x v="1"/>
    <n v="27.265000000000001"/>
    <x v="3"/>
    <x v="1"/>
    <x v="2"/>
    <x v="1038"/>
    <n v="119.9"/>
    <x v="1"/>
    <b v="1"/>
    <x v="2"/>
    <n v="173553.16"/>
    <x v="0"/>
  </r>
  <r>
    <x v="23"/>
    <x v="0"/>
    <n v="28.024999999999999"/>
    <x v="0"/>
    <x v="0"/>
    <x v="2"/>
    <x v="1039"/>
    <n v="119.9"/>
    <x v="3"/>
    <b v="0"/>
    <x v="1"/>
    <n v="112067.5"/>
    <x v="1"/>
  </r>
  <r>
    <x v="1"/>
    <x v="1"/>
    <n v="23.085000000000001"/>
    <x v="0"/>
    <x v="1"/>
    <x v="3"/>
    <x v="1040"/>
    <n v="123.7"/>
    <x v="1"/>
    <b v="1"/>
    <x v="1"/>
    <n v="70780.97"/>
    <x v="0"/>
  </r>
  <r>
    <x v="35"/>
    <x v="1"/>
    <n v="30.684999999999999"/>
    <x v="0"/>
    <x v="0"/>
    <x v="3"/>
    <x v="1041"/>
    <n v="138.69999999999999"/>
    <x v="0"/>
    <b v="0"/>
    <x v="2"/>
    <n v="173461.35"/>
    <x v="0"/>
  </r>
  <r>
    <x v="2"/>
    <x v="0"/>
    <n v="25.8"/>
    <x v="0"/>
    <x v="1"/>
    <x v="0"/>
    <x v="1042"/>
    <n v="128.19999999999999"/>
    <x v="1"/>
    <b v="1"/>
    <x v="0"/>
    <n v="195918.43"/>
    <x v="0"/>
  </r>
  <r>
    <x v="20"/>
    <x v="1"/>
    <n v="35.244999999999997"/>
    <x v="1"/>
    <x v="1"/>
    <x v="3"/>
    <x v="1043"/>
    <n v="120.5"/>
    <x v="3"/>
    <b v="0"/>
    <x v="1"/>
    <n v="190925.05"/>
    <x v="2"/>
  </r>
  <r>
    <x v="33"/>
    <x v="0"/>
    <n v="24.7"/>
    <x v="3"/>
    <x v="0"/>
    <x v="2"/>
    <x v="1044"/>
    <n v="121.9"/>
    <x v="2"/>
    <b v="1"/>
    <x v="2"/>
    <n v="55603.02"/>
    <x v="1"/>
  </r>
  <r>
    <x v="33"/>
    <x v="0"/>
    <n v="25.08"/>
    <x v="0"/>
    <x v="1"/>
    <x v="3"/>
    <x v="1045"/>
    <n v="130.9"/>
    <x v="1"/>
    <b v="1"/>
    <x v="1"/>
    <n v="35846.480000000003"/>
    <x v="1"/>
  </r>
  <r>
    <x v="21"/>
    <x v="1"/>
    <n v="52.58"/>
    <x v="1"/>
    <x v="0"/>
    <x v="1"/>
    <x v="1046"/>
    <n v="127.5"/>
    <x v="2"/>
    <b v="0"/>
    <x v="2"/>
    <n v="173039.73"/>
    <x v="0"/>
  </r>
  <r>
    <x v="9"/>
    <x v="0"/>
    <n v="22.515000000000001"/>
    <x v="1"/>
    <x v="1"/>
    <x v="2"/>
    <x v="1047"/>
    <n v="133.69999999999999"/>
    <x v="1"/>
    <b v="1"/>
    <x v="0"/>
    <n v="130451.62"/>
    <x v="0"/>
  </r>
  <r>
    <x v="42"/>
    <x v="1"/>
    <n v="30.9"/>
    <x v="0"/>
    <x v="0"/>
    <x v="0"/>
    <x v="1048"/>
    <n v="129.80000000000001"/>
    <x v="3"/>
    <b v="0"/>
    <x v="2"/>
    <n v="133404.57999999999"/>
    <x v="1"/>
  </r>
  <r>
    <x v="37"/>
    <x v="0"/>
    <n v="36.954999999999998"/>
    <x v="1"/>
    <x v="1"/>
    <x v="2"/>
    <x v="1049"/>
    <n v="128.5"/>
    <x v="3"/>
    <b v="1"/>
    <x v="0"/>
    <n v="172707.12"/>
    <x v="1"/>
  </r>
  <r>
    <x v="34"/>
    <x v="1"/>
    <n v="26.41"/>
    <x v="0"/>
    <x v="1"/>
    <x v="3"/>
    <x v="1050"/>
    <n v="119"/>
    <x v="1"/>
    <b v="0"/>
    <x v="1"/>
    <n v="194248.52"/>
    <x v="2"/>
  </r>
  <r>
    <x v="42"/>
    <x v="1"/>
    <n v="29.83"/>
    <x v="1"/>
    <x v="1"/>
    <x v="3"/>
    <x v="1051"/>
    <n v="112.2"/>
    <x v="3"/>
    <b v="1"/>
    <x v="2"/>
    <n v="40365.599999999999"/>
    <x v="1"/>
  </r>
  <r>
    <x v="43"/>
    <x v="1"/>
    <n v="29.8"/>
    <x v="2"/>
    <x v="0"/>
    <x v="0"/>
    <x v="1052"/>
    <n v="137.5"/>
    <x v="1"/>
    <b v="1"/>
    <x v="1"/>
    <n v="32464.45"/>
    <x v="1"/>
  </r>
  <r>
    <x v="13"/>
    <x v="0"/>
    <n v="21.47"/>
    <x v="0"/>
    <x v="1"/>
    <x v="2"/>
    <x v="1053"/>
    <n v="134.30000000000001"/>
    <x v="0"/>
    <b v="0"/>
    <x v="1"/>
    <n v="139844.95000000001"/>
    <x v="0"/>
  </r>
  <r>
    <x v="20"/>
    <x v="1"/>
    <n v="27.645"/>
    <x v="0"/>
    <x v="1"/>
    <x v="2"/>
    <x v="1054"/>
    <n v="137.30000000000001"/>
    <x v="0"/>
    <b v="0"/>
    <x v="0"/>
    <n v="194192.01"/>
    <x v="2"/>
  </r>
  <r>
    <x v="29"/>
    <x v="0"/>
    <n v="28.9"/>
    <x v="0"/>
    <x v="1"/>
    <x v="0"/>
    <x v="1055"/>
    <n v="138.1"/>
    <x v="1"/>
    <b v="1"/>
    <x v="2"/>
    <n v="53790.39"/>
    <x v="1"/>
  </r>
  <r>
    <x v="40"/>
    <x v="0"/>
    <n v="31.79"/>
    <x v="0"/>
    <x v="1"/>
    <x v="1"/>
    <x v="1056"/>
    <n v="126.2"/>
    <x v="2"/>
    <b v="0"/>
    <x v="0"/>
    <n v="57253.49"/>
    <x v="1"/>
  </r>
  <r>
    <x v="24"/>
    <x v="0"/>
    <n v="39.49"/>
    <x v="0"/>
    <x v="1"/>
    <x v="1"/>
    <x v="1057"/>
    <n v="110.8"/>
    <x v="0"/>
    <b v="0"/>
    <x v="0"/>
    <n v="185824.89"/>
    <x v="0"/>
  </r>
  <r>
    <x v="4"/>
    <x v="1"/>
    <n v="33.82"/>
    <x v="1"/>
    <x v="1"/>
    <x v="2"/>
    <x v="1058"/>
    <n v="128.1"/>
    <x v="0"/>
    <b v="0"/>
    <x v="1"/>
    <n v="109800.18"/>
    <x v="1"/>
  </r>
  <r>
    <x v="24"/>
    <x v="1"/>
    <n v="32.01"/>
    <x v="0"/>
    <x v="1"/>
    <x v="1"/>
    <x v="1059"/>
    <n v="129.9"/>
    <x v="3"/>
    <b v="1"/>
    <x v="0"/>
    <n v="180499.31"/>
    <x v="0"/>
  </r>
  <r>
    <x v="38"/>
    <x v="1"/>
    <n v="27.94"/>
    <x v="1"/>
    <x v="1"/>
    <x v="1"/>
    <x v="1060"/>
    <n v="138.80000000000001"/>
    <x v="2"/>
    <b v="1"/>
    <x v="1"/>
    <n v="48378.49"/>
    <x v="2"/>
  </r>
  <r>
    <x v="18"/>
    <x v="1"/>
    <n v="41.14"/>
    <x v="1"/>
    <x v="0"/>
    <x v="1"/>
    <x v="1061"/>
    <n v="136.9"/>
    <x v="2"/>
    <b v="0"/>
    <x v="2"/>
    <n v="190537.60000000001"/>
    <x v="2"/>
  </r>
  <r>
    <x v="27"/>
    <x v="1"/>
    <n v="28.594999999999999"/>
    <x v="2"/>
    <x v="1"/>
    <x v="2"/>
    <x v="1062"/>
    <n v="126"/>
    <x v="3"/>
    <b v="1"/>
    <x v="0"/>
    <n v="83822.2"/>
    <x v="1"/>
  </r>
  <r>
    <x v="39"/>
    <x v="0"/>
    <n v="25.6"/>
    <x v="5"/>
    <x v="1"/>
    <x v="0"/>
    <x v="1063"/>
    <n v="114.4"/>
    <x v="0"/>
    <b v="1"/>
    <x v="1"/>
    <n v="195853.95"/>
    <x v="0"/>
  </r>
  <r>
    <x v="45"/>
    <x v="0"/>
    <n v="25.3"/>
    <x v="1"/>
    <x v="1"/>
    <x v="0"/>
    <x v="1064"/>
    <n v="134.6"/>
    <x v="3"/>
    <b v="1"/>
    <x v="1"/>
    <n v="100685.63"/>
    <x v="1"/>
  </r>
  <r>
    <x v="29"/>
    <x v="1"/>
    <n v="37.29"/>
    <x v="3"/>
    <x v="1"/>
    <x v="1"/>
    <x v="1065"/>
    <n v="132"/>
    <x v="3"/>
    <b v="0"/>
    <x v="0"/>
    <n v="76433.84"/>
    <x v="1"/>
  </r>
  <r>
    <x v="11"/>
    <x v="1"/>
    <n v="42.655000000000001"/>
    <x v="0"/>
    <x v="1"/>
    <x v="3"/>
    <x v="1066"/>
    <n v="136.9"/>
    <x v="1"/>
    <b v="0"/>
    <x v="1"/>
    <n v="174932.22"/>
    <x v="1"/>
  </r>
  <r>
    <x v="19"/>
    <x v="1"/>
    <n v="21.66"/>
    <x v="1"/>
    <x v="1"/>
    <x v="2"/>
    <x v="1067"/>
    <n v="115.2"/>
    <x v="3"/>
    <b v="1"/>
    <x v="0"/>
    <n v="177957.94"/>
    <x v="2"/>
  </r>
  <r>
    <x v="41"/>
    <x v="0"/>
    <n v="31.9"/>
    <x v="1"/>
    <x v="1"/>
    <x v="1"/>
    <x v="1068"/>
    <n v="129.5"/>
    <x v="2"/>
    <b v="1"/>
    <x v="2"/>
    <n v="48636.84"/>
    <x v="2"/>
  </r>
  <r>
    <x v="7"/>
    <x v="1"/>
    <n v="37.07"/>
    <x v="1"/>
    <x v="0"/>
    <x v="1"/>
    <x v="1069"/>
    <n v="115.9"/>
    <x v="3"/>
    <b v="0"/>
    <x v="2"/>
    <n v="199601.02"/>
    <x v="1"/>
  </r>
  <r>
    <x v="19"/>
    <x v="1"/>
    <n v="31.445"/>
    <x v="0"/>
    <x v="1"/>
    <x v="3"/>
    <x v="1070"/>
    <n v="134.80000000000001"/>
    <x v="2"/>
    <b v="1"/>
    <x v="2"/>
    <n v="53242.06"/>
    <x v="2"/>
  </r>
  <r>
    <x v="28"/>
    <x v="1"/>
    <n v="31.254999999999999"/>
    <x v="0"/>
    <x v="1"/>
    <x v="2"/>
    <x v="1071"/>
    <n v="131.19999999999999"/>
    <x v="0"/>
    <b v="1"/>
    <x v="1"/>
    <n v="97673.66"/>
    <x v="0"/>
  </r>
  <r>
    <x v="41"/>
    <x v="0"/>
    <n v="28.88"/>
    <x v="3"/>
    <x v="1"/>
    <x v="3"/>
    <x v="1072"/>
    <n v="124.7"/>
    <x v="2"/>
    <b v="1"/>
    <x v="2"/>
    <n v="103434.21"/>
    <x v="2"/>
  </r>
  <r>
    <x v="8"/>
    <x v="0"/>
    <n v="18.335000000000001"/>
    <x v="0"/>
    <x v="1"/>
    <x v="3"/>
    <x v="1073"/>
    <n v="117.9"/>
    <x v="0"/>
    <b v="0"/>
    <x v="1"/>
    <n v="57679.41"/>
    <x v="2"/>
  </r>
  <r>
    <x v="4"/>
    <x v="0"/>
    <n v="29.59"/>
    <x v="1"/>
    <x v="1"/>
    <x v="1"/>
    <x v="1074"/>
    <n v="120.2"/>
    <x v="1"/>
    <b v="1"/>
    <x v="2"/>
    <n v="85359.08"/>
    <x v="1"/>
  </r>
  <r>
    <x v="43"/>
    <x v="0"/>
    <n v="32"/>
    <x v="1"/>
    <x v="1"/>
    <x v="0"/>
    <x v="1075"/>
    <n v="118.1"/>
    <x v="3"/>
    <b v="1"/>
    <x v="2"/>
    <n v="161244.54999999999"/>
    <x v="1"/>
  </r>
  <r>
    <x v="28"/>
    <x v="1"/>
    <n v="26.03"/>
    <x v="0"/>
    <x v="1"/>
    <x v="3"/>
    <x v="1076"/>
    <n v="131.4"/>
    <x v="0"/>
    <b v="0"/>
    <x v="1"/>
    <n v="52026.5"/>
    <x v="0"/>
  </r>
  <r>
    <x v="2"/>
    <x v="1"/>
    <n v="31.68"/>
    <x v="0"/>
    <x v="0"/>
    <x v="1"/>
    <x v="1077"/>
    <n v="119.9"/>
    <x v="0"/>
    <b v="0"/>
    <x v="0"/>
    <n v="83747.59"/>
    <x v="0"/>
  </r>
  <r>
    <x v="19"/>
    <x v="1"/>
    <n v="33.659999999999997"/>
    <x v="2"/>
    <x v="1"/>
    <x v="1"/>
    <x v="1078"/>
    <n v="111.2"/>
    <x v="1"/>
    <b v="1"/>
    <x v="2"/>
    <n v="96464.65"/>
    <x v="2"/>
  </r>
  <r>
    <x v="1"/>
    <x v="1"/>
    <n v="21.78"/>
    <x v="3"/>
    <x v="1"/>
    <x v="1"/>
    <x v="1079"/>
    <n v="111.1"/>
    <x v="3"/>
    <b v="0"/>
    <x v="0"/>
    <n v="134676.35"/>
    <x v="0"/>
  </r>
  <r>
    <x v="4"/>
    <x v="1"/>
    <n v="27.835000000000001"/>
    <x v="1"/>
    <x v="1"/>
    <x v="2"/>
    <x v="1080"/>
    <n v="123.9"/>
    <x v="3"/>
    <b v="0"/>
    <x v="1"/>
    <n v="188625.88"/>
    <x v="1"/>
  </r>
  <r>
    <x v="26"/>
    <x v="1"/>
    <n v="19.95"/>
    <x v="1"/>
    <x v="1"/>
    <x v="2"/>
    <x v="1081"/>
    <n v="133.69999999999999"/>
    <x v="0"/>
    <b v="1"/>
    <x v="0"/>
    <n v="193716.8"/>
    <x v="1"/>
  </r>
  <r>
    <x v="4"/>
    <x v="1"/>
    <n v="31.5"/>
    <x v="1"/>
    <x v="1"/>
    <x v="0"/>
    <x v="1082"/>
    <n v="115.1"/>
    <x v="0"/>
    <b v="1"/>
    <x v="0"/>
    <n v="101617.52"/>
    <x v="1"/>
  </r>
  <r>
    <x v="10"/>
    <x v="0"/>
    <n v="30.495000000000001"/>
    <x v="3"/>
    <x v="1"/>
    <x v="2"/>
    <x v="1083"/>
    <n v="119.6"/>
    <x v="3"/>
    <b v="0"/>
    <x v="0"/>
    <n v="141544.01999999999"/>
    <x v="2"/>
  </r>
  <r>
    <x v="11"/>
    <x v="0"/>
    <n v="18.3"/>
    <x v="4"/>
    <x v="0"/>
    <x v="0"/>
    <x v="1084"/>
    <n v="135.1"/>
    <x v="1"/>
    <b v="0"/>
    <x v="1"/>
    <n v="113734.31"/>
    <x v="1"/>
  </r>
  <r>
    <x v="20"/>
    <x v="1"/>
    <n v="28.975000000000001"/>
    <x v="0"/>
    <x v="1"/>
    <x v="3"/>
    <x v="1085"/>
    <n v="127.5"/>
    <x v="3"/>
    <b v="0"/>
    <x v="2"/>
    <n v="199267.39"/>
    <x v="2"/>
  </r>
  <r>
    <x v="38"/>
    <x v="1"/>
    <n v="31.54"/>
    <x v="0"/>
    <x v="1"/>
    <x v="2"/>
    <x v="1086"/>
    <n v="121.6"/>
    <x v="3"/>
    <b v="0"/>
    <x v="1"/>
    <n v="109882.65"/>
    <x v="2"/>
  </r>
  <r>
    <x v="14"/>
    <x v="1"/>
    <n v="47.74"/>
    <x v="1"/>
    <x v="1"/>
    <x v="1"/>
    <x v="1087"/>
    <n v="128.5"/>
    <x v="0"/>
    <b v="0"/>
    <x v="2"/>
    <n v="57219.73"/>
    <x v="2"/>
  </r>
  <r>
    <x v="12"/>
    <x v="1"/>
    <n v="22.1"/>
    <x v="0"/>
    <x v="1"/>
    <x v="0"/>
    <x v="1088"/>
    <n v="118.2"/>
    <x v="1"/>
    <b v="1"/>
    <x v="2"/>
    <n v="108880.16"/>
    <x v="2"/>
  </r>
  <r>
    <x v="43"/>
    <x v="1"/>
    <n v="36.19"/>
    <x v="0"/>
    <x v="0"/>
    <x v="1"/>
    <x v="1089"/>
    <n v="123.8"/>
    <x v="0"/>
    <b v="0"/>
    <x v="0"/>
    <n v="173845.88"/>
    <x v="1"/>
  </r>
  <r>
    <x v="20"/>
    <x v="0"/>
    <n v="29.83"/>
    <x v="0"/>
    <x v="1"/>
    <x v="3"/>
    <x v="1090"/>
    <n v="110.2"/>
    <x v="3"/>
    <b v="0"/>
    <x v="0"/>
    <n v="33324.559999999998"/>
    <x v="2"/>
  </r>
  <r>
    <x v="15"/>
    <x v="1"/>
    <n v="32.700000000000003"/>
    <x v="2"/>
    <x v="1"/>
    <x v="0"/>
    <x v="1091"/>
    <n v="131.5"/>
    <x v="0"/>
    <b v="0"/>
    <x v="1"/>
    <n v="142039.70000000001"/>
    <x v="0"/>
  </r>
  <r>
    <x v="21"/>
    <x v="0"/>
    <n v="30.4"/>
    <x v="0"/>
    <x v="0"/>
    <x v="2"/>
    <x v="1092"/>
    <n v="128.30000000000001"/>
    <x v="2"/>
    <b v="1"/>
    <x v="2"/>
    <n v="199238.2"/>
    <x v="0"/>
  </r>
  <r>
    <x v="46"/>
    <x v="0"/>
    <n v="33.700000000000003"/>
    <x v="5"/>
    <x v="1"/>
    <x v="0"/>
    <x v="1093"/>
    <n v="112.6"/>
    <x v="2"/>
    <b v="1"/>
    <x v="1"/>
    <n v="196838.84"/>
    <x v="1"/>
  </r>
  <r>
    <x v="1"/>
    <x v="0"/>
    <n v="31.35"/>
    <x v="5"/>
    <x v="1"/>
    <x v="3"/>
    <x v="1094"/>
    <n v="127.5"/>
    <x v="3"/>
    <b v="1"/>
    <x v="0"/>
    <n v="81999.23"/>
    <x v="0"/>
  </r>
  <r>
    <x v="44"/>
    <x v="0"/>
    <n v="34.96"/>
    <x v="3"/>
    <x v="0"/>
    <x v="3"/>
    <x v="1095"/>
    <n v="138.19999999999999"/>
    <x v="2"/>
    <b v="1"/>
    <x v="1"/>
    <n v="64945.63"/>
    <x v="2"/>
  </r>
  <r>
    <x v="21"/>
    <x v="1"/>
    <n v="33.770000000000003"/>
    <x v="0"/>
    <x v="1"/>
    <x v="1"/>
    <x v="1096"/>
    <n v="111.7"/>
    <x v="1"/>
    <b v="0"/>
    <x v="2"/>
    <n v="172009.06"/>
    <x v="0"/>
  </r>
  <r>
    <x v="14"/>
    <x v="0"/>
    <n v="30.875"/>
    <x v="0"/>
    <x v="1"/>
    <x v="3"/>
    <x v="1097"/>
    <n v="122.2"/>
    <x v="1"/>
    <b v="0"/>
    <x v="2"/>
    <n v="91199.16"/>
    <x v="2"/>
  </r>
  <r>
    <x v="9"/>
    <x v="0"/>
    <n v="33.99"/>
    <x v="1"/>
    <x v="1"/>
    <x v="1"/>
    <x v="1098"/>
    <n v="117.3"/>
    <x v="0"/>
    <b v="1"/>
    <x v="1"/>
    <n v="134653.98000000001"/>
    <x v="0"/>
  </r>
  <r>
    <x v="3"/>
    <x v="0"/>
    <n v="19.094999999999999"/>
    <x v="3"/>
    <x v="0"/>
    <x v="3"/>
    <x v="1099"/>
    <n v="127.1"/>
    <x v="3"/>
    <b v="0"/>
    <x v="0"/>
    <n v="30109.23"/>
    <x v="1"/>
  </r>
  <r>
    <x v="32"/>
    <x v="1"/>
    <n v="28.6"/>
    <x v="2"/>
    <x v="1"/>
    <x v="0"/>
    <x v="1100"/>
    <n v="119.1"/>
    <x v="2"/>
    <b v="1"/>
    <x v="1"/>
    <n v="112760.73"/>
    <x v="2"/>
  </r>
  <r>
    <x v="39"/>
    <x v="1"/>
    <n v="38.94"/>
    <x v="1"/>
    <x v="1"/>
    <x v="1"/>
    <x v="1101"/>
    <n v="138.30000000000001"/>
    <x v="0"/>
    <b v="1"/>
    <x v="0"/>
    <n v="104366.51"/>
    <x v="0"/>
  </r>
  <r>
    <x v="31"/>
    <x v="1"/>
    <n v="36.08"/>
    <x v="0"/>
    <x v="1"/>
    <x v="1"/>
    <x v="1102"/>
    <n v="121.7"/>
    <x v="3"/>
    <b v="0"/>
    <x v="0"/>
    <n v="84229.35"/>
    <x v="2"/>
  </r>
  <r>
    <x v="7"/>
    <x v="1"/>
    <n v="29.8"/>
    <x v="0"/>
    <x v="1"/>
    <x v="0"/>
    <x v="1103"/>
    <n v="130.80000000000001"/>
    <x v="3"/>
    <b v="0"/>
    <x v="2"/>
    <n v="118938.27"/>
    <x v="1"/>
  </r>
  <r>
    <x v="41"/>
    <x v="0"/>
    <n v="31.24"/>
    <x v="0"/>
    <x v="1"/>
    <x v="1"/>
    <x v="1104"/>
    <n v="123.7"/>
    <x v="3"/>
    <b v="1"/>
    <x v="0"/>
    <n v="32064.89"/>
    <x v="2"/>
  </r>
  <r>
    <x v="42"/>
    <x v="0"/>
    <n v="29.925000000000001"/>
    <x v="0"/>
    <x v="1"/>
    <x v="2"/>
    <x v="1105"/>
    <n v="125.7"/>
    <x v="0"/>
    <b v="1"/>
    <x v="2"/>
    <n v="180414.4"/>
    <x v="1"/>
  </r>
  <r>
    <x v="46"/>
    <x v="0"/>
    <n v="26.22"/>
    <x v="3"/>
    <x v="1"/>
    <x v="2"/>
    <x v="1106"/>
    <n v="110.8"/>
    <x v="2"/>
    <b v="0"/>
    <x v="2"/>
    <n v="103024.69"/>
    <x v="1"/>
  </r>
  <r>
    <x v="22"/>
    <x v="1"/>
    <n v="30"/>
    <x v="1"/>
    <x v="1"/>
    <x v="0"/>
    <x v="1107"/>
    <n v="114.4"/>
    <x v="0"/>
    <b v="1"/>
    <x v="2"/>
    <n v="122773.77"/>
    <x v="0"/>
  </r>
  <r>
    <x v="40"/>
    <x v="1"/>
    <n v="20.350000000000001"/>
    <x v="2"/>
    <x v="1"/>
    <x v="1"/>
    <x v="1108"/>
    <n v="125.3"/>
    <x v="2"/>
    <b v="1"/>
    <x v="1"/>
    <n v="117577.94"/>
    <x v="1"/>
  </r>
  <r>
    <x v="41"/>
    <x v="0"/>
    <n v="32.299999999999997"/>
    <x v="1"/>
    <x v="1"/>
    <x v="3"/>
    <x v="1109"/>
    <n v="132.9"/>
    <x v="1"/>
    <b v="1"/>
    <x v="0"/>
    <n v="156132.67000000001"/>
    <x v="2"/>
  </r>
  <r>
    <x v="26"/>
    <x v="1"/>
    <n v="38.39"/>
    <x v="2"/>
    <x v="0"/>
    <x v="1"/>
    <x v="1110"/>
    <n v="116.1"/>
    <x v="0"/>
    <b v="0"/>
    <x v="0"/>
    <n v="157542.73000000001"/>
    <x v="1"/>
  </r>
  <r>
    <x v="29"/>
    <x v="0"/>
    <n v="25.85"/>
    <x v="2"/>
    <x v="0"/>
    <x v="1"/>
    <x v="1111"/>
    <n v="123.6"/>
    <x v="1"/>
    <b v="0"/>
    <x v="0"/>
    <n v="78007.02"/>
    <x v="1"/>
  </r>
  <r>
    <x v="2"/>
    <x v="0"/>
    <n v="26.315000000000001"/>
    <x v="2"/>
    <x v="1"/>
    <x v="2"/>
    <x v="1112"/>
    <n v="131.5"/>
    <x v="2"/>
    <b v="1"/>
    <x v="2"/>
    <n v="101532.38"/>
    <x v="0"/>
  </r>
  <r>
    <x v="15"/>
    <x v="1"/>
    <n v="24.51"/>
    <x v="0"/>
    <x v="1"/>
    <x v="3"/>
    <x v="1113"/>
    <n v="114.7"/>
    <x v="1"/>
    <b v="1"/>
    <x v="2"/>
    <n v="90660.76"/>
    <x v="0"/>
  </r>
  <r>
    <x v="20"/>
    <x v="1"/>
    <n v="32.67"/>
    <x v="1"/>
    <x v="1"/>
    <x v="1"/>
    <x v="1114"/>
    <n v="120.1"/>
    <x v="3"/>
    <b v="1"/>
    <x v="0"/>
    <n v="66288.42"/>
    <x v="2"/>
  </r>
  <r>
    <x v="25"/>
    <x v="1"/>
    <n v="29.64"/>
    <x v="4"/>
    <x v="1"/>
    <x v="3"/>
    <x v="1115"/>
    <n v="111.7"/>
    <x v="3"/>
    <b v="1"/>
    <x v="1"/>
    <n v="184673.27"/>
    <x v="1"/>
  </r>
  <r>
    <x v="9"/>
    <x v="1"/>
    <n v="33.33"/>
    <x v="3"/>
    <x v="0"/>
    <x v="1"/>
    <x v="1116"/>
    <n v="131.69999999999999"/>
    <x v="0"/>
    <b v="0"/>
    <x v="0"/>
    <n v="47082.59"/>
    <x v="0"/>
  </r>
  <r>
    <x v="3"/>
    <x v="1"/>
    <n v="35.75"/>
    <x v="1"/>
    <x v="0"/>
    <x v="1"/>
    <x v="1117"/>
    <n v="136.6"/>
    <x v="2"/>
    <b v="1"/>
    <x v="1"/>
    <n v="107020.22"/>
    <x v="1"/>
  </r>
  <r>
    <x v="16"/>
    <x v="0"/>
    <n v="19.95"/>
    <x v="2"/>
    <x v="1"/>
    <x v="2"/>
    <x v="1118"/>
    <n v="136.80000000000001"/>
    <x v="3"/>
    <b v="1"/>
    <x v="2"/>
    <n v="74168"/>
    <x v="1"/>
  </r>
  <r>
    <x v="15"/>
    <x v="0"/>
    <n v="31.4"/>
    <x v="0"/>
    <x v="0"/>
    <x v="0"/>
    <x v="1119"/>
    <n v="113.4"/>
    <x v="3"/>
    <b v="0"/>
    <x v="1"/>
    <n v="140847.17000000001"/>
    <x v="0"/>
  </r>
  <r>
    <x v="6"/>
    <x v="1"/>
    <n v="38.17"/>
    <x v="3"/>
    <x v="1"/>
    <x v="1"/>
    <x v="1120"/>
    <n v="125.2"/>
    <x v="1"/>
    <b v="0"/>
    <x v="2"/>
    <n v="82359.520000000004"/>
    <x v="1"/>
  </r>
  <r>
    <x v="32"/>
    <x v="0"/>
    <n v="36.86"/>
    <x v="2"/>
    <x v="0"/>
    <x v="2"/>
    <x v="1121"/>
    <n v="133.1"/>
    <x v="3"/>
    <b v="0"/>
    <x v="0"/>
    <n v="181157.83"/>
    <x v="2"/>
  </r>
  <r>
    <x v="13"/>
    <x v="0"/>
    <n v="32.395000000000003"/>
    <x v="1"/>
    <x v="1"/>
    <x v="3"/>
    <x v="1122"/>
    <n v="131.4"/>
    <x v="0"/>
    <b v="0"/>
    <x v="1"/>
    <n v="86198.09"/>
    <x v="0"/>
  </r>
  <r>
    <x v="15"/>
    <x v="0"/>
    <n v="42.75"/>
    <x v="1"/>
    <x v="0"/>
    <x v="3"/>
    <x v="1123"/>
    <n v="117.2"/>
    <x v="0"/>
    <b v="0"/>
    <x v="1"/>
    <n v="126663.94"/>
    <x v="0"/>
  </r>
  <r>
    <x v="19"/>
    <x v="0"/>
    <n v="25.08"/>
    <x v="0"/>
    <x v="1"/>
    <x v="2"/>
    <x v="1124"/>
    <n v="119.7"/>
    <x v="2"/>
    <b v="1"/>
    <x v="2"/>
    <n v="173963.84"/>
    <x v="2"/>
  </r>
  <r>
    <x v="20"/>
    <x v="1"/>
    <n v="29.9"/>
    <x v="0"/>
    <x v="1"/>
    <x v="0"/>
    <x v="1125"/>
    <n v="113.1"/>
    <x v="1"/>
    <b v="0"/>
    <x v="1"/>
    <n v="181953.64"/>
    <x v="2"/>
  </r>
  <r>
    <x v="23"/>
    <x v="0"/>
    <n v="35.86"/>
    <x v="3"/>
    <x v="1"/>
    <x v="1"/>
    <x v="1126"/>
    <n v="136.1"/>
    <x v="1"/>
    <b v="0"/>
    <x v="2"/>
    <n v="60117.73"/>
    <x v="1"/>
  </r>
  <r>
    <x v="17"/>
    <x v="1"/>
    <n v="32.799999999999997"/>
    <x v="1"/>
    <x v="1"/>
    <x v="0"/>
    <x v="1127"/>
    <n v="111.5"/>
    <x v="3"/>
    <b v="1"/>
    <x v="0"/>
    <n v="129321.17"/>
    <x v="1"/>
  </r>
  <r>
    <x v="0"/>
    <x v="0"/>
    <n v="18.600000000000001"/>
    <x v="0"/>
    <x v="1"/>
    <x v="0"/>
    <x v="1128"/>
    <n v="121.9"/>
    <x v="2"/>
    <b v="1"/>
    <x v="2"/>
    <n v="30527.02"/>
    <x v="0"/>
  </r>
  <r>
    <x v="11"/>
    <x v="0"/>
    <n v="23.87"/>
    <x v="4"/>
    <x v="1"/>
    <x v="1"/>
    <x v="1129"/>
    <n v="139.19999999999999"/>
    <x v="2"/>
    <b v="1"/>
    <x v="1"/>
    <n v="188305.72"/>
    <x v="1"/>
  </r>
  <r>
    <x v="13"/>
    <x v="1"/>
    <n v="45.9"/>
    <x v="3"/>
    <x v="1"/>
    <x v="0"/>
    <x v="1130"/>
    <n v="126.4"/>
    <x v="2"/>
    <b v="0"/>
    <x v="1"/>
    <n v="86004.59"/>
    <x v="0"/>
  </r>
  <r>
    <x v="38"/>
    <x v="1"/>
    <n v="40.28"/>
    <x v="0"/>
    <x v="1"/>
    <x v="3"/>
    <x v="1131"/>
    <n v="138.6"/>
    <x v="1"/>
    <b v="0"/>
    <x v="0"/>
    <n v="48706.02"/>
    <x v="2"/>
  </r>
  <r>
    <x v="14"/>
    <x v="0"/>
    <n v="18.335000000000001"/>
    <x v="0"/>
    <x v="1"/>
    <x v="2"/>
    <x v="1132"/>
    <n v="114.4"/>
    <x v="3"/>
    <b v="0"/>
    <x v="0"/>
    <n v="59970.54"/>
    <x v="2"/>
  </r>
  <r>
    <x v="2"/>
    <x v="1"/>
    <n v="33.82"/>
    <x v="0"/>
    <x v="1"/>
    <x v="2"/>
    <x v="1133"/>
    <n v="110.1"/>
    <x v="1"/>
    <b v="0"/>
    <x v="2"/>
    <n v="156092.98000000001"/>
    <x v="0"/>
  </r>
  <r>
    <x v="46"/>
    <x v="0"/>
    <n v="28.12"/>
    <x v="2"/>
    <x v="1"/>
    <x v="2"/>
    <x v="1134"/>
    <n v="112.4"/>
    <x v="2"/>
    <b v="0"/>
    <x v="0"/>
    <n v="131860.56"/>
    <x v="1"/>
  </r>
  <r>
    <x v="37"/>
    <x v="0"/>
    <n v="25"/>
    <x v="1"/>
    <x v="1"/>
    <x v="0"/>
    <x v="1135"/>
    <n v="117.1"/>
    <x v="1"/>
    <b v="1"/>
    <x v="0"/>
    <n v="139531.01"/>
    <x v="1"/>
  </r>
  <r>
    <x v="22"/>
    <x v="0"/>
    <n v="22.23"/>
    <x v="0"/>
    <x v="1"/>
    <x v="2"/>
    <x v="1136"/>
    <n v="139.6"/>
    <x v="0"/>
    <b v="1"/>
    <x v="1"/>
    <n v="171665.26"/>
    <x v="0"/>
  </r>
  <r>
    <x v="3"/>
    <x v="1"/>
    <n v="30.25"/>
    <x v="0"/>
    <x v="1"/>
    <x v="1"/>
    <x v="1137"/>
    <n v="135.4"/>
    <x v="3"/>
    <b v="0"/>
    <x v="0"/>
    <n v="128586.37"/>
    <x v="1"/>
  </r>
  <r>
    <x v="0"/>
    <x v="0"/>
    <n v="32.49"/>
    <x v="0"/>
    <x v="0"/>
    <x v="2"/>
    <x v="1138"/>
    <n v="123.5"/>
    <x v="1"/>
    <b v="0"/>
    <x v="2"/>
    <n v="131406.95000000001"/>
    <x v="0"/>
  </r>
  <r>
    <x v="46"/>
    <x v="1"/>
    <n v="37.07"/>
    <x v="1"/>
    <x v="1"/>
    <x v="1"/>
    <x v="1139"/>
    <n v="138.1"/>
    <x v="0"/>
    <b v="0"/>
    <x v="1"/>
    <n v="70578.509999999995"/>
    <x v="1"/>
  </r>
  <r>
    <x v="25"/>
    <x v="0"/>
    <n v="32.6"/>
    <x v="2"/>
    <x v="1"/>
    <x v="0"/>
    <x v="1140"/>
    <n v="128.30000000000001"/>
    <x v="2"/>
    <b v="0"/>
    <x v="0"/>
    <n v="107056.42"/>
    <x v="1"/>
  </r>
  <r>
    <x v="14"/>
    <x v="0"/>
    <n v="24.86"/>
    <x v="0"/>
    <x v="1"/>
    <x v="1"/>
    <x v="1141"/>
    <n v="131"/>
    <x v="0"/>
    <b v="1"/>
    <x v="2"/>
    <n v="198660.61"/>
    <x v="2"/>
  </r>
  <r>
    <x v="11"/>
    <x v="1"/>
    <n v="32.340000000000003"/>
    <x v="3"/>
    <x v="1"/>
    <x v="1"/>
    <x v="1142"/>
    <n v="138.30000000000001"/>
    <x v="0"/>
    <b v="0"/>
    <x v="0"/>
    <n v="97165.67"/>
    <x v="1"/>
  </r>
  <r>
    <x v="46"/>
    <x v="1"/>
    <n v="32.299999999999997"/>
    <x v="3"/>
    <x v="1"/>
    <x v="0"/>
    <x v="1143"/>
    <n v="117.3"/>
    <x v="3"/>
    <b v="1"/>
    <x v="2"/>
    <n v="81674.850000000006"/>
    <x v="1"/>
  </r>
  <r>
    <x v="14"/>
    <x v="1"/>
    <n v="32.774999999999999"/>
    <x v="2"/>
    <x v="1"/>
    <x v="2"/>
    <x v="1144"/>
    <n v="136.19999999999999"/>
    <x v="1"/>
    <b v="0"/>
    <x v="0"/>
    <n v="145573.43"/>
    <x v="2"/>
  </r>
  <r>
    <x v="8"/>
    <x v="1"/>
    <n v="32.799999999999997"/>
    <x v="0"/>
    <x v="0"/>
    <x v="0"/>
    <x v="1145"/>
    <n v="135.6"/>
    <x v="2"/>
    <b v="0"/>
    <x v="0"/>
    <n v="50502.93"/>
    <x v="2"/>
  </r>
  <r>
    <x v="35"/>
    <x v="0"/>
    <n v="31.92"/>
    <x v="0"/>
    <x v="1"/>
    <x v="2"/>
    <x v="1146"/>
    <n v="110.3"/>
    <x v="2"/>
    <b v="0"/>
    <x v="1"/>
    <n v="78076.06"/>
    <x v="0"/>
  </r>
  <r>
    <x v="20"/>
    <x v="1"/>
    <n v="21.5"/>
    <x v="1"/>
    <x v="1"/>
    <x v="0"/>
    <x v="1147"/>
    <n v="112.1"/>
    <x v="3"/>
    <b v="0"/>
    <x v="0"/>
    <n v="191672.95"/>
    <x v="2"/>
  </r>
  <r>
    <x v="45"/>
    <x v="1"/>
    <n v="34.1"/>
    <x v="0"/>
    <x v="1"/>
    <x v="0"/>
    <x v="1148"/>
    <n v="121.1"/>
    <x v="2"/>
    <b v="1"/>
    <x v="0"/>
    <n v="50924.1"/>
    <x v="1"/>
  </r>
  <r>
    <x v="1"/>
    <x v="0"/>
    <n v="30.305"/>
    <x v="0"/>
    <x v="1"/>
    <x v="3"/>
    <x v="1149"/>
    <n v="110.1"/>
    <x v="0"/>
    <b v="0"/>
    <x v="0"/>
    <n v="190308.65"/>
    <x v="0"/>
  </r>
  <r>
    <x v="31"/>
    <x v="0"/>
    <n v="36.479999999999997"/>
    <x v="0"/>
    <x v="1"/>
    <x v="2"/>
    <x v="1150"/>
    <n v="122.4"/>
    <x v="0"/>
    <b v="1"/>
    <x v="2"/>
    <n v="162483.51999999999"/>
    <x v="2"/>
  </r>
  <r>
    <x v="33"/>
    <x v="0"/>
    <n v="32.56"/>
    <x v="2"/>
    <x v="0"/>
    <x v="1"/>
    <x v="1151"/>
    <n v="122.7"/>
    <x v="3"/>
    <b v="1"/>
    <x v="2"/>
    <n v="84015.18"/>
    <x v="1"/>
  </r>
  <r>
    <x v="23"/>
    <x v="0"/>
    <n v="35.814999999999998"/>
    <x v="1"/>
    <x v="1"/>
    <x v="2"/>
    <x v="1152"/>
    <n v="124.8"/>
    <x v="2"/>
    <b v="0"/>
    <x v="1"/>
    <n v="174187.01"/>
    <x v="1"/>
  </r>
  <r>
    <x v="29"/>
    <x v="0"/>
    <n v="27.93"/>
    <x v="5"/>
    <x v="1"/>
    <x v="2"/>
    <x v="1153"/>
    <n v="120.6"/>
    <x v="1"/>
    <b v="1"/>
    <x v="1"/>
    <n v="36512.33"/>
    <x v="1"/>
  </r>
  <r>
    <x v="27"/>
    <x v="0"/>
    <n v="22.135000000000002"/>
    <x v="2"/>
    <x v="1"/>
    <x v="3"/>
    <x v="1154"/>
    <n v="138.6"/>
    <x v="1"/>
    <b v="1"/>
    <x v="1"/>
    <n v="171274.23"/>
    <x v="1"/>
  </r>
  <r>
    <x v="0"/>
    <x v="1"/>
    <n v="44.88"/>
    <x v="0"/>
    <x v="0"/>
    <x v="1"/>
    <x v="1155"/>
    <n v="128.80000000000001"/>
    <x v="2"/>
    <b v="1"/>
    <x v="2"/>
    <n v="91777.78"/>
    <x v="0"/>
  </r>
  <r>
    <x v="15"/>
    <x v="0"/>
    <n v="23.18"/>
    <x v="3"/>
    <x v="1"/>
    <x v="2"/>
    <x v="1156"/>
    <n v="130"/>
    <x v="3"/>
    <b v="0"/>
    <x v="1"/>
    <n v="74422.149999999994"/>
    <x v="0"/>
  </r>
  <r>
    <x v="35"/>
    <x v="0"/>
    <n v="30.59"/>
    <x v="0"/>
    <x v="1"/>
    <x v="3"/>
    <x v="1157"/>
    <n v="120.3"/>
    <x v="2"/>
    <b v="1"/>
    <x v="1"/>
    <n v="186230.66"/>
    <x v="0"/>
  </r>
  <r>
    <x v="4"/>
    <x v="0"/>
    <n v="41.1"/>
    <x v="0"/>
    <x v="1"/>
    <x v="0"/>
    <x v="1158"/>
    <n v="122.5"/>
    <x v="1"/>
    <b v="0"/>
    <x v="0"/>
    <n v="168948.67"/>
    <x v="1"/>
  </r>
  <r>
    <x v="33"/>
    <x v="0"/>
    <n v="34.58"/>
    <x v="1"/>
    <x v="1"/>
    <x v="2"/>
    <x v="1159"/>
    <n v="118.5"/>
    <x v="2"/>
    <b v="1"/>
    <x v="0"/>
    <n v="112343.65"/>
    <x v="1"/>
  </r>
  <r>
    <x v="17"/>
    <x v="1"/>
    <n v="42.13"/>
    <x v="3"/>
    <x v="1"/>
    <x v="1"/>
    <x v="1160"/>
    <n v="134.4"/>
    <x v="0"/>
    <b v="1"/>
    <x v="2"/>
    <n v="36473.660000000003"/>
    <x v="1"/>
  </r>
  <r>
    <x v="16"/>
    <x v="1"/>
    <n v="38.83"/>
    <x v="1"/>
    <x v="1"/>
    <x v="1"/>
    <x v="1161"/>
    <n v="121.1"/>
    <x v="3"/>
    <b v="0"/>
    <x v="2"/>
    <n v="135250.82999999999"/>
    <x v="1"/>
  </r>
  <r>
    <x v="1"/>
    <x v="0"/>
    <n v="28.215"/>
    <x v="0"/>
    <x v="1"/>
    <x v="3"/>
    <x v="1162"/>
    <n v="117.7"/>
    <x v="3"/>
    <b v="0"/>
    <x v="0"/>
    <n v="69175.22"/>
    <x v="0"/>
  </r>
  <r>
    <x v="25"/>
    <x v="0"/>
    <n v="28.31"/>
    <x v="1"/>
    <x v="1"/>
    <x v="2"/>
    <x v="1163"/>
    <n v="136"/>
    <x v="3"/>
    <b v="1"/>
    <x v="2"/>
    <n v="176976.88"/>
    <x v="1"/>
  </r>
  <r>
    <x v="23"/>
    <x v="0"/>
    <n v="26.125"/>
    <x v="0"/>
    <x v="1"/>
    <x v="3"/>
    <x v="1164"/>
    <n v="129.4"/>
    <x v="0"/>
    <b v="1"/>
    <x v="1"/>
    <n v="44279.92"/>
    <x v="1"/>
  </r>
  <r>
    <x v="38"/>
    <x v="1"/>
    <n v="40.369999999999997"/>
    <x v="0"/>
    <x v="1"/>
    <x v="1"/>
    <x v="1165"/>
    <n v="116.7"/>
    <x v="3"/>
    <b v="0"/>
    <x v="1"/>
    <n v="39120.11"/>
    <x v="2"/>
  </r>
  <r>
    <x v="39"/>
    <x v="0"/>
    <n v="24.6"/>
    <x v="3"/>
    <x v="1"/>
    <x v="0"/>
    <x v="1166"/>
    <n v="118.1"/>
    <x v="2"/>
    <b v="1"/>
    <x v="0"/>
    <n v="194965.83"/>
    <x v="0"/>
  </r>
  <r>
    <x v="4"/>
    <x v="1"/>
    <n v="35.200000000000003"/>
    <x v="3"/>
    <x v="1"/>
    <x v="0"/>
    <x v="1167"/>
    <n v="110.2"/>
    <x v="0"/>
    <b v="1"/>
    <x v="2"/>
    <n v="95902.74"/>
    <x v="1"/>
  </r>
  <r>
    <x v="7"/>
    <x v="0"/>
    <n v="34.104999999999997"/>
    <x v="1"/>
    <x v="1"/>
    <x v="2"/>
    <x v="1168"/>
    <n v="112.9"/>
    <x v="3"/>
    <b v="0"/>
    <x v="0"/>
    <n v="194967.42"/>
    <x v="1"/>
  </r>
  <r>
    <x v="1"/>
    <x v="1"/>
    <n v="27.36"/>
    <x v="1"/>
    <x v="0"/>
    <x v="3"/>
    <x v="1169"/>
    <n v="125.6"/>
    <x v="2"/>
    <b v="0"/>
    <x v="0"/>
    <n v="157154.85999999999"/>
    <x v="0"/>
  </r>
  <r>
    <x v="33"/>
    <x v="0"/>
    <n v="26.7"/>
    <x v="3"/>
    <x v="0"/>
    <x v="0"/>
    <x v="1170"/>
    <n v="123.8"/>
    <x v="3"/>
    <b v="1"/>
    <x v="2"/>
    <n v="31548.93"/>
    <x v="1"/>
  </r>
  <r>
    <x v="12"/>
    <x v="0"/>
    <n v="41.91"/>
    <x v="0"/>
    <x v="1"/>
    <x v="1"/>
    <x v="1171"/>
    <n v="127.8"/>
    <x v="3"/>
    <b v="0"/>
    <x v="1"/>
    <n v="148643.35999999999"/>
    <x v="2"/>
  </r>
  <r>
    <x v="26"/>
    <x v="1"/>
    <n v="29.26"/>
    <x v="3"/>
    <x v="1"/>
    <x v="2"/>
    <x v="1172"/>
    <n v="117.3"/>
    <x v="2"/>
    <b v="1"/>
    <x v="0"/>
    <n v="111316.84"/>
    <x v="1"/>
  </r>
  <r>
    <x v="39"/>
    <x v="1"/>
    <n v="32.11"/>
    <x v="3"/>
    <x v="1"/>
    <x v="2"/>
    <x v="1173"/>
    <n v="126.5"/>
    <x v="3"/>
    <b v="1"/>
    <x v="0"/>
    <n v="148365.74"/>
    <x v="0"/>
  </r>
  <r>
    <x v="21"/>
    <x v="0"/>
    <n v="27.1"/>
    <x v="0"/>
    <x v="1"/>
    <x v="0"/>
    <x v="1174"/>
    <n v="134.80000000000001"/>
    <x v="0"/>
    <b v="0"/>
    <x v="0"/>
    <n v="83288.97"/>
    <x v="0"/>
  </r>
  <r>
    <x v="14"/>
    <x v="0"/>
    <n v="24.13"/>
    <x v="1"/>
    <x v="0"/>
    <x v="2"/>
    <x v="1175"/>
    <n v="113.5"/>
    <x v="1"/>
    <b v="0"/>
    <x v="0"/>
    <n v="171296.23"/>
    <x v="2"/>
  </r>
  <r>
    <x v="30"/>
    <x v="0"/>
    <n v="27.4"/>
    <x v="1"/>
    <x v="1"/>
    <x v="0"/>
    <x v="1176"/>
    <n v="125.3"/>
    <x v="2"/>
    <b v="0"/>
    <x v="2"/>
    <n v="41214.769999999997"/>
    <x v="1"/>
  </r>
  <r>
    <x v="15"/>
    <x v="0"/>
    <n v="34.865000000000002"/>
    <x v="0"/>
    <x v="1"/>
    <x v="3"/>
    <x v="1177"/>
    <n v="128.80000000000001"/>
    <x v="0"/>
    <b v="0"/>
    <x v="1"/>
    <n v="49948.07"/>
    <x v="0"/>
  </r>
  <r>
    <x v="5"/>
    <x v="1"/>
    <n v="29.81"/>
    <x v="0"/>
    <x v="0"/>
    <x v="1"/>
    <x v="1178"/>
    <n v="129.19999999999999"/>
    <x v="0"/>
    <b v="1"/>
    <x v="0"/>
    <n v="31369.67"/>
    <x v="1"/>
  </r>
  <r>
    <x v="45"/>
    <x v="0"/>
    <n v="41.325000000000003"/>
    <x v="1"/>
    <x v="1"/>
    <x v="3"/>
    <x v="1179"/>
    <n v="112.4"/>
    <x v="0"/>
    <b v="0"/>
    <x v="1"/>
    <n v="192020.82"/>
    <x v="1"/>
  </r>
  <r>
    <x v="24"/>
    <x v="0"/>
    <n v="29.925000000000001"/>
    <x v="0"/>
    <x v="1"/>
    <x v="2"/>
    <x v="1180"/>
    <n v="129.4"/>
    <x v="0"/>
    <b v="0"/>
    <x v="1"/>
    <n v="42906.57"/>
    <x v="0"/>
  </r>
  <r>
    <x v="9"/>
    <x v="0"/>
    <n v="30.3"/>
    <x v="0"/>
    <x v="1"/>
    <x v="0"/>
    <x v="1181"/>
    <n v="113.5"/>
    <x v="1"/>
    <b v="1"/>
    <x v="0"/>
    <n v="110807.88"/>
    <x v="0"/>
  </r>
  <r>
    <x v="29"/>
    <x v="0"/>
    <n v="27.36"/>
    <x v="1"/>
    <x v="1"/>
    <x v="3"/>
    <x v="1182"/>
    <n v="137.4"/>
    <x v="1"/>
    <b v="1"/>
    <x v="0"/>
    <n v="108719.43"/>
    <x v="1"/>
  </r>
  <r>
    <x v="15"/>
    <x v="0"/>
    <n v="28.49"/>
    <x v="1"/>
    <x v="0"/>
    <x v="1"/>
    <x v="1183"/>
    <n v="132.1"/>
    <x v="3"/>
    <b v="1"/>
    <x v="0"/>
    <n v="82824.259999999995"/>
    <x v="0"/>
  </r>
  <r>
    <x v="40"/>
    <x v="1"/>
    <n v="23.56"/>
    <x v="3"/>
    <x v="1"/>
    <x v="3"/>
    <x v="1184"/>
    <n v="129.30000000000001"/>
    <x v="1"/>
    <b v="1"/>
    <x v="1"/>
    <n v="199015.76"/>
    <x v="1"/>
  </r>
  <r>
    <x v="35"/>
    <x v="1"/>
    <n v="35.625"/>
    <x v="2"/>
    <x v="0"/>
    <x v="2"/>
    <x v="1185"/>
    <n v="121.3"/>
    <x v="2"/>
    <b v="0"/>
    <x v="2"/>
    <n v="90474.85"/>
    <x v="0"/>
  </r>
  <r>
    <x v="10"/>
    <x v="0"/>
    <n v="32.68"/>
    <x v="0"/>
    <x v="1"/>
    <x v="2"/>
    <x v="1186"/>
    <n v="126.7"/>
    <x v="0"/>
    <b v="0"/>
    <x v="2"/>
    <n v="66356.34"/>
    <x v="2"/>
  </r>
  <r>
    <x v="33"/>
    <x v="0"/>
    <n v="25.27"/>
    <x v="1"/>
    <x v="0"/>
    <x v="3"/>
    <x v="1187"/>
    <n v="116.3"/>
    <x v="0"/>
    <b v="0"/>
    <x v="2"/>
    <n v="160733.92000000001"/>
    <x v="1"/>
  </r>
  <r>
    <x v="15"/>
    <x v="0"/>
    <n v="28"/>
    <x v="0"/>
    <x v="1"/>
    <x v="0"/>
    <x v="1188"/>
    <n v="137.5"/>
    <x v="3"/>
    <b v="0"/>
    <x v="0"/>
    <n v="104669.59"/>
    <x v="0"/>
  </r>
  <r>
    <x v="5"/>
    <x v="0"/>
    <n v="32.774999999999999"/>
    <x v="3"/>
    <x v="1"/>
    <x v="2"/>
    <x v="1189"/>
    <n v="123.6"/>
    <x v="2"/>
    <b v="1"/>
    <x v="2"/>
    <n v="81810.25"/>
    <x v="1"/>
  </r>
  <r>
    <x v="25"/>
    <x v="0"/>
    <n v="21.754999999999999"/>
    <x v="1"/>
    <x v="1"/>
    <x v="3"/>
    <x v="1190"/>
    <n v="110.2"/>
    <x v="3"/>
    <b v="0"/>
    <x v="1"/>
    <n v="178712.7"/>
    <x v="1"/>
  </r>
  <r>
    <x v="31"/>
    <x v="0"/>
    <n v="32.395000000000003"/>
    <x v="1"/>
    <x v="1"/>
    <x v="3"/>
    <x v="1191"/>
    <n v="123.4"/>
    <x v="3"/>
    <b v="1"/>
    <x v="2"/>
    <n v="51661.65"/>
    <x v="2"/>
  </r>
  <r>
    <x v="29"/>
    <x v="0"/>
    <n v="36.575000000000003"/>
    <x v="0"/>
    <x v="1"/>
    <x v="2"/>
    <x v="1192"/>
    <n v="128.69999999999999"/>
    <x v="1"/>
    <b v="1"/>
    <x v="0"/>
    <n v="192934.77"/>
    <x v="1"/>
  </r>
  <r>
    <x v="5"/>
    <x v="0"/>
    <n v="21.754999999999999"/>
    <x v="0"/>
    <x v="1"/>
    <x v="2"/>
    <x v="1193"/>
    <n v="128.1"/>
    <x v="3"/>
    <b v="0"/>
    <x v="2"/>
    <n v="196455.47"/>
    <x v="1"/>
  </r>
  <r>
    <x v="0"/>
    <x v="0"/>
    <n v="27.93"/>
    <x v="2"/>
    <x v="1"/>
    <x v="2"/>
    <x v="1194"/>
    <n v="127.7"/>
    <x v="3"/>
    <b v="1"/>
    <x v="1"/>
    <n v="137848.29"/>
    <x v="0"/>
  </r>
  <r>
    <x v="0"/>
    <x v="0"/>
    <n v="30.02"/>
    <x v="0"/>
    <x v="0"/>
    <x v="2"/>
    <x v="1195"/>
    <n v="131.30000000000001"/>
    <x v="2"/>
    <b v="0"/>
    <x v="1"/>
    <n v="62916.88"/>
    <x v="0"/>
  </r>
  <r>
    <x v="25"/>
    <x v="1"/>
    <n v="33.549999999999997"/>
    <x v="0"/>
    <x v="1"/>
    <x v="1"/>
    <x v="1196"/>
    <n v="133.19999999999999"/>
    <x v="1"/>
    <b v="0"/>
    <x v="2"/>
    <n v="114372.24"/>
    <x v="1"/>
  </r>
  <r>
    <x v="30"/>
    <x v="1"/>
    <n v="29.355"/>
    <x v="1"/>
    <x v="1"/>
    <x v="2"/>
    <x v="1197"/>
    <n v="137.5"/>
    <x v="2"/>
    <b v="1"/>
    <x v="0"/>
    <n v="89818.01"/>
    <x v="1"/>
  </r>
  <r>
    <x v="5"/>
    <x v="0"/>
    <n v="25.8"/>
    <x v="3"/>
    <x v="1"/>
    <x v="0"/>
    <x v="1198"/>
    <n v="135"/>
    <x v="1"/>
    <b v="0"/>
    <x v="1"/>
    <n v="90789.14"/>
    <x v="1"/>
  </r>
  <r>
    <x v="7"/>
    <x v="1"/>
    <n v="24.32"/>
    <x v="3"/>
    <x v="1"/>
    <x v="2"/>
    <x v="1199"/>
    <n v="131.9"/>
    <x v="3"/>
    <b v="1"/>
    <x v="2"/>
    <n v="135990.49"/>
    <x v="1"/>
  </r>
  <r>
    <x v="6"/>
    <x v="1"/>
    <n v="40.375"/>
    <x v="3"/>
    <x v="1"/>
    <x v="2"/>
    <x v="1200"/>
    <n v="111.8"/>
    <x v="0"/>
    <b v="0"/>
    <x v="0"/>
    <n v="134977.03"/>
    <x v="1"/>
  </r>
  <r>
    <x v="21"/>
    <x v="1"/>
    <n v="32.11"/>
    <x v="0"/>
    <x v="1"/>
    <x v="2"/>
    <x v="1201"/>
    <n v="129.6"/>
    <x v="0"/>
    <b v="1"/>
    <x v="0"/>
    <n v="74699.72"/>
    <x v="0"/>
  </r>
  <r>
    <x v="44"/>
    <x v="1"/>
    <n v="32.299999999999997"/>
    <x v="1"/>
    <x v="1"/>
    <x v="3"/>
    <x v="1202"/>
    <n v="131.80000000000001"/>
    <x v="2"/>
    <b v="0"/>
    <x v="1"/>
    <n v="95243.43"/>
    <x v="2"/>
  </r>
  <r>
    <x v="1"/>
    <x v="0"/>
    <n v="27.28"/>
    <x v="2"/>
    <x v="0"/>
    <x v="1"/>
    <x v="1203"/>
    <n v="132.30000000000001"/>
    <x v="2"/>
    <b v="0"/>
    <x v="2"/>
    <n v="116124.07"/>
    <x v="0"/>
  </r>
  <r>
    <x v="23"/>
    <x v="1"/>
    <n v="17.86"/>
    <x v="1"/>
    <x v="1"/>
    <x v="2"/>
    <x v="1204"/>
    <n v="121.9"/>
    <x v="2"/>
    <b v="1"/>
    <x v="1"/>
    <n v="47038.07"/>
    <x v="1"/>
  </r>
  <r>
    <x v="18"/>
    <x v="0"/>
    <n v="34.799999999999997"/>
    <x v="3"/>
    <x v="1"/>
    <x v="0"/>
    <x v="1205"/>
    <n v="125.9"/>
    <x v="2"/>
    <b v="0"/>
    <x v="2"/>
    <n v="39902.69"/>
    <x v="2"/>
  </r>
  <r>
    <x v="27"/>
    <x v="1"/>
    <n v="33.4"/>
    <x v="3"/>
    <x v="0"/>
    <x v="0"/>
    <x v="1206"/>
    <n v="127.3"/>
    <x v="2"/>
    <b v="0"/>
    <x v="0"/>
    <n v="80121.179999999993"/>
    <x v="1"/>
  </r>
  <r>
    <x v="7"/>
    <x v="0"/>
    <n v="25.555"/>
    <x v="1"/>
    <x v="0"/>
    <x v="3"/>
    <x v="1207"/>
    <n v="117.7"/>
    <x v="2"/>
    <b v="1"/>
    <x v="0"/>
    <n v="106173.95"/>
    <x v="1"/>
  </r>
  <r>
    <x v="18"/>
    <x v="1"/>
    <n v="37.1"/>
    <x v="1"/>
    <x v="1"/>
    <x v="0"/>
    <x v="1208"/>
    <n v="119.7"/>
    <x v="0"/>
    <b v="0"/>
    <x v="0"/>
    <n v="161058.19"/>
    <x v="2"/>
  </r>
  <r>
    <x v="27"/>
    <x v="1"/>
    <n v="30.875"/>
    <x v="1"/>
    <x v="1"/>
    <x v="2"/>
    <x v="1209"/>
    <n v="118.1"/>
    <x v="0"/>
    <b v="0"/>
    <x v="2"/>
    <n v="198999.45"/>
    <x v="1"/>
  </r>
  <r>
    <x v="11"/>
    <x v="1"/>
    <n v="34.1"/>
    <x v="3"/>
    <x v="1"/>
    <x v="1"/>
    <x v="1210"/>
    <n v="123.2"/>
    <x v="2"/>
    <b v="0"/>
    <x v="0"/>
    <n v="52494.6"/>
    <x v="1"/>
  </r>
  <r>
    <x v="1"/>
    <x v="1"/>
    <n v="21.47"/>
    <x v="0"/>
    <x v="1"/>
    <x v="3"/>
    <x v="1211"/>
    <n v="126.4"/>
    <x v="2"/>
    <b v="0"/>
    <x v="2"/>
    <n v="34884.18"/>
    <x v="0"/>
  </r>
  <r>
    <x v="14"/>
    <x v="0"/>
    <n v="33.299999999999997"/>
    <x v="3"/>
    <x v="1"/>
    <x v="0"/>
    <x v="1212"/>
    <n v="118.6"/>
    <x v="2"/>
    <b v="0"/>
    <x v="0"/>
    <n v="87721.66"/>
    <x v="2"/>
  </r>
  <r>
    <x v="13"/>
    <x v="0"/>
    <n v="31.254999999999999"/>
    <x v="1"/>
    <x v="1"/>
    <x v="2"/>
    <x v="1213"/>
    <n v="116.8"/>
    <x v="0"/>
    <b v="1"/>
    <x v="2"/>
    <n v="164220.71"/>
    <x v="0"/>
  </r>
  <r>
    <x v="1"/>
    <x v="1"/>
    <n v="39.14"/>
    <x v="0"/>
    <x v="1"/>
    <x v="3"/>
    <x v="1214"/>
    <n v="119.1"/>
    <x v="2"/>
    <b v="0"/>
    <x v="0"/>
    <n v="81377.240000000005"/>
    <x v="0"/>
  </r>
  <r>
    <x v="30"/>
    <x v="1"/>
    <n v="25.08"/>
    <x v="0"/>
    <x v="1"/>
    <x v="1"/>
    <x v="1215"/>
    <n v="113.9"/>
    <x v="3"/>
    <b v="0"/>
    <x v="0"/>
    <n v="59128.44"/>
    <x v="1"/>
  </r>
  <r>
    <x v="39"/>
    <x v="1"/>
    <n v="37.29"/>
    <x v="3"/>
    <x v="1"/>
    <x v="1"/>
    <x v="1216"/>
    <n v="138"/>
    <x v="2"/>
    <b v="0"/>
    <x v="0"/>
    <n v="143187.03"/>
    <x v="0"/>
  </r>
  <r>
    <x v="6"/>
    <x v="0"/>
    <n v="34.6"/>
    <x v="1"/>
    <x v="0"/>
    <x v="0"/>
    <x v="1217"/>
    <n v="126.6"/>
    <x v="1"/>
    <b v="1"/>
    <x v="2"/>
    <n v="157060.97"/>
    <x v="1"/>
  </r>
  <r>
    <x v="26"/>
    <x v="0"/>
    <n v="30.21"/>
    <x v="2"/>
    <x v="1"/>
    <x v="2"/>
    <x v="1218"/>
    <n v="132.6"/>
    <x v="2"/>
    <b v="1"/>
    <x v="2"/>
    <n v="142878.26"/>
    <x v="1"/>
  </r>
  <r>
    <x v="16"/>
    <x v="0"/>
    <n v="21.945"/>
    <x v="1"/>
    <x v="1"/>
    <x v="3"/>
    <x v="1219"/>
    <n v="132.30000000000001"/>
    <x v="3"/>
    <b v="0"/>
    <x v="0"/>
    <n v="162231"/>
    <x v="1"/>
  </r>
  <r>
    <x v="30"/>
    <x v="1"/>
    <n v="24.97"/>
    <x v="3"/>
    <x v="1"/>
    <x v="1"/>
    <x v="1220"/>
    <n v="129.69999999999999"/>
    <x v="1"/>
    <b v="1"/>
    <x v="2"/>
    <n v="175125.67"/>
    <x v="1"/>
  </r>
  <r>
    <x v="46"/>
    <x v="1"/>
    <n v="25.3"/>
    <x v="0"/>
    <x v="1"/>
    <x v="1"/>
    <x v="1221"/>
    <n v="128.1"/>
    <x v="3"/>
    <b v="0"/>
    <x v="1"/>
    <n v="177171.86"/>
    <x v="1"/>
  </r>
  <r>
    <x v="35"/>
    <x v="0"/>
    <n v="24.42"/>
    <x v="0"/>
    <x v="0"/>
    <x v="1"/>
    <x v="1222"/>
    <n v="133.69999999999999"/>
    <x v="2"/>
    <b v="1"/>
    <x v="1"/>
    <n v="127640.37"/>
    <x v="0"/>
  </r>
  <r>
    <x v="25"/>
    <x v="1"/>
    <n v="23.94"/>
    <x v="1"/>
    <x v="1"/>
    <x v="3"/>
    <x v="1223"/>
    <n v="136.69999999999999"/>
    <x v="3"/>
    <b v="0"/>
    <x v="0"/>
    <n v="190312"/>
    <x v="1"/>
  </r>
  <r>
    <x v="3"/>
    <x v="0"/>
    <n v="39.82"/>
    <x v="1"/>
    <x v="1"/>
    <x v="1"/>
    <x v="1224"/>
    <n v="112"/>
    <x v="2"/>
    <b v="1"/>
    <x v="2"/>
    <n v="145082.35999999999"/>
    <x v="1"/>
  </r>
  <r>
    <x v="26"/>
    <x v="1"/>
    <n v="16.815000000000001"/>
    <x v="3"/>
    <x v="1"/>
    <x v="3"/>
    <x v="1225"/>
    <n v="125.5"/>
    <x v="3"/>
    <b v="1"/>
    <x v="0"/>
    <n v="73123.7"/>
    <x v="1"/>
  </r>
  <r>
    <x v="45"/>
    <x v="1"/>
    <n v="37.18"/>
    <x v="3"/>
    <x v="1"/>
    <x v="1"/>
    <x v="1226"/>
    <n v="119.2"/>
    <x v="3"/>
    <b v="0"/>
    <x v="2"/>
    <n v="193432.9"/>
    <x v="1"/>
  </r>
  <r>
    <x v="12"/>
    <x v="1"/>
    <n v="34.43"/>
    <x v="0"/>
    <x v="1"/>
    <x v="1"/>
    <x v="1227"/>
    <n v="122.8"/>
    <x v="1"/>
    <b v="0"/>
    <x v="1"/>
    <n v="133784.57999999999"/>
    <x v="2"/>
  </r>
  <r>
    <x v="31"/>
    <x v="1"/>
    <n v="30.305"/>
    <x v="0"/>
    <x v="1"/>
    <x v="3"/>
    <x v="1228"/>
    <n v="114.7"/>
    <x v="2"/>
    <b v="0"/>
    <x v="2"/>
    <n v="73031.75"/>
    <x v="2"/>
  </r>
  <r>
    <x v="14"/>
    <x v="1"/>
    <n v="34.484999999999999"/>
    <x v="2"/>
    <x v="0"/>
    <x v="2"/>
    <x v="1229"/>
    <n v="134.30000000000001"/>
    <x v="3"/>
    <b v="1"/>
    <x v="0"/>
    <n v="53560.85"/>
    <x v="2"/>
  </r>
  <r>
    <x v="35"/>
    <x v="0"/>
    <n v="21.8"/>
    <x v="0"/>
    <x v="0"/>
    <x v="0"/>
    <x v="1230"/>
    <n v="131.69999999999999"/>
    <x v="1"/>
    <b v="0"/>
    <x v="2"/>
    <n v="32559.05"/>
    <x v="0"/>
  </r>
  <r>
    <x v="41"/>
    <x v="0"/>
    <n v="24.605"/>
    <x v="2"/>
    <x v="1"/>
    <x v="2"/>
    <x v="1231"/>
    <n v="117.8"/>
    <x v="1"/>
    <b v="1"/>
    <x v="1"/>
    <n v="197467.84"/>
    <x v="2"/>
  </r>
  <r>
    <x v="31"/>
    <x v="1"/>
    <n v="23.3"/>
    <x v="0"/>
    <x v="1"/>
    <x v="0"/>
    <x v="1232"/>
    <n v="127.8"/>
    <x v="3"/>
    <b v="0"/>
    <x v="2"/>
    <n v="177614.57"/>
    <x v="2"/>
  </r>
  <r>
    <x v="40"/>
    <x v="0"/>
    <n v="27.83"/>
    <x v="3"/>
    <x v="1"/>
    <x v="1"/>
    <x v="1233"/>
    <n v="118.2"/>
    <x v="0"/>
    <b v="1"/>
    <x v="1"/>
    <n v="158179.32"/>
    <x v="1"/>
  </r>
  <r>
    <x v="22"/>
    <x v="1"/>
    <n v="31.065000000000001"/>
    <x v="0"/>
    <x v="1"/>
    <x v="2"/>
    <x v="1234"/>
    <n v="121.3"/>
    <x v="3"/>
    <b v="1"/>
    <x v="1"/>
    <n v="102567.54"/>
    <x v="0"/>
  </r>
  <r>
    <x v="19"/>
    <x v="0"/>
    <n v="21.66"/>
    <x v="0"/>
    <x v="1"/>
    <x v="3"/>
    <x v="1235"/>
    <n v="113.6"/>
    <x v="0"/>
    <b v="0"/>
    <x v="0"/>
    <n v="178242.73"/>
    <x v="2"/>
  </r>
  <r>
    <x v="31"/>
    <x v="0"/>
    <n v="28.215"/>
    <x v="0"/>
    <x v="1"/>
    <x v="2"/>
    <x v="1236"/>
    <n v="130"/>
    <x v="3"/>
    <b v="0"/>
    <x v="1"/>
    <n v="88641.89"/>
    <x v="2"/>
  </r>
  <r>
    <x v="7"/>
    <x v="1"/>
    <n v="22.704999999999998"/>
    <x v="2"/>
    <x v="1"/>
    <x v="3"/>
    <x v="1237"/>
    <n v="126.2"/>
    <x v="3"/>
    <b v="1"/>
    <x v="2"/>
    <n v="191091.57"/>
    <x v="1"/>
  </r>
  <r>
    <x v="9"/>
    <x v="0"/>
    <n v="42.13"/>
    <x v="1"/>
    <x v="1"/>
    <x v="1"/>
    <x v="1238"/>
    <n v="135.5"/>
    <x v="3"/>
    <b v="1"/>
    <x v="1"/>
    <n v="164644.42000000001"/>
    <x v="0"/>
  </r>
  <r>
    <x v="14"/>
    <x v="1"/>
    <n v="41.8"/>
    <x v="3"/>
    <x v="0"/>
    <x v="1"/>
    <x v="1239"/>
    <n v="110.3"/>
    <x v="1"/>
    <b v="0"/>
    <x v="1"/>
    <n v="196928.42"/>
    <x v="2"/>
  </r>
  <r>
    <x v="34"/>
    <x v="1"/>
    <n v="36.96"/>
    <x v="3"/>
    <x v="0"/>
    <x v="1"/>
    <x v="1240"/>
    <n v="118"/>
    <x v="1"/>
    <b v="1"/>
    <x v="2"/>
    <n v="121909.27"/>
    <x v="2"/>
  </r>
  <r>
    <x v="21"/>
    <x v="0"/>
    <n v="21.28"/>
    <x v="2"/>
    <x v="1"/>
    <x v="2"/>
    <x v="1241"/>
    <n v="126"/>
    <x v="1"/>
    <b v="0"/>
    <x v="1"/>
    <n v="77478.960000000006"/>
    <x v="0"/>
  </r>
  <r>
    <x v="2"/>
    <x v="0"/>
    <n v="33.11"/>
    <x v="0"/>
    <x v="1"/>
    <x v="1"/>
    <x v="1242"/>
    <n v="129.9"/>
    <x v="0"/>
    <b v="0"/>
    <x v="2"/>
    <n v="143955.01"/>
    <x v="0"/>
  </r>
  <r>
    <x v="1"/>
    <x v="1"/>
    <n v="33.33"/>
    <x v="0"/>
    <x v="1"/>
    <x v="1"/>
    <x v="1243"/>
    <n v="113.1"/>
    <x v="2"/>
    <b v="1"/>
    <x v="2"/>
    <n v="187227.56"/>
    <x v="0"/>
  </r>
  <r>
    <x v="2"/>
    <x v="1"/>
    <n v="24.3"/>
    <x v="4"/>
    <x v="1"/>
    <x v="0"/>
    <x v="1244"/>
    <n v="112.6"/>
    <x v="2"/>
    <b v="0"/>
    <x v="2"/>
    <n v="183294.95"/>
    <x v="0"/>
  </r>
  <r>
    <x v="40"/>
    <x v="0"/>
    <n v="25.7"/>
    <x v="2"/>
    <x v="1"/>
    <x v="0"/>
    <x v="1245"/>
    <n v="124.5"/>
    <x v="1"/>
    <b v="0"/>
    <x v="0"/>
    <n v="173815.73"/>
    <x v="1"/>
  </r>
  <r>
    <x v="3"/>
    <x v="1"/>
    <n v="29.4"/>
    <x v="5"/>
    <x v="1"/>
    <x v="0"/>
    <x v="1246"/>
    <n v="111.8"/>
    <x v="2"/>
    <b v="1"/>
    <x v="1"/>
    <n v="86169.73"/>
    <x v="1"/>
  </r>
  <r>
    <x v="1"/>
    <x v="0"/>
    <n v="39.82"/>
    <x v="0"/>
    <x v="1"/>
    <x v="1"/>
    <x v="1247"/>
    <n v="111.9"/>
    <x v="0"/>
    <b v="1"/>
    <x v="0"/>
    <n v="42137.96"/>
    <x v="0"/>
  </r>
  <r>
    <x v="4"/>
    <x v="1"/>
    <n v="33.630000000000003"/>
    <x v="1"/>
    <x v="0"/>
    <x v="3"/>
    <x v="1248"/>
    <n v="133.4"/>
    <x v="3"/>
    <b v="1"/>
    <x v="1"/>
    <n v="50675.13"/>
    <x v="1"/>
  </r>
  <r>
    <x v="24"/>
    <x v="1"/>
    <n v="29.83"/>
    <x v="0"/>
    <x v="0"/>
    <x v="3"/>
    <x v="1249"/>
    <n v="123.4"/>
    <x v="3"/>
    <b v="0"/>
    <x v="0"/>
    <n v="60217.07"/>
    <x v="0"/>
  </r>
  <r>
    <x v="0"/>
    <x v="1"/>
    <n v="19.8"/>
    <x v="0"/>
    <x v="1"/>
    <x v="0"/>
    <x v="1250"/>
    <n v="118.9"/>
    <x v="3"/>
    <b v="0"/>
    <x v="0"/>
    <n v="49690.45"/>
    <x v="0"/>
  </r>
  <r>
    <x v="35"/>
    <x v="1"/>
    <n v="27.3"/>
    <x v="0"/>
    <x v="0"/>
    <x v="0"/>
    <x v="1251"/>
    <n v="117.2"/>
    <x v="0"/>
    <b v="1"/>
    <x v="0"/>
    <n v="75528.77"/>
    <x v="0"/>
  </r>
  <r>
    <x v="30"/>
    <x v="0"/>
    <n v="29.3"/>
    <x v="5"/>
    <x v="1"/>
    <x v="0"/>
    <x v="1252"/>
    <n v="117.2"/>
    <x v="3"/>
    <b v="0"/>
    <x v="1"/>
    <n v="58356.87"/>
    <x v="1"/>
  </r>
  <r>
    <x v="17"/>
    <x v="0"/>
    <n v="27.72"/>
    <x v="0"/>
    <x v="1"/>
    <x v="1"/>
    <x v="1253"/>
    <n v="116.8"/>
    <x v="0"/>
    <b v="0"/>
    <x v="1"/>
    <n v="179908.14"/>
    <x v="1"/>
  </r>
  <r>
    <x v="45"/>
    <x v="0"/>
    <n v="37.9"/>
    <x v="0"/>
    <x v="1"/>
    <x v="0"/>
    <x v="1254"/>
    <n v="115"/>
    <x v="1"/>
    <b v="0"/>
    <x v="1"/>
    <n v="119431.81"/>
    <x v="1"/>
  </r>
  <r>
    <x v="44"/>
    <x v="0"/>
    <n v="36.384999999999998"/>
    <x v="2"/>
    <x v="1"/>
    <x v="2"/>
    <x v="1255"/>
    <n v="114.2"/>
    <x v="3"/>
    <b v="0"/>
    <x v="0"/>
    <n v="97513.38"/>
    <x v="2"/>
  </r>
  <r>
    <x v="41"/>
    <x v="0"/>
    <n v="27.645"/>
    <x v="1"/>
    <x v="1"/>
    <x v="2"/>
    <x v="1256"/>
    <n v="117.6"/>
    <x v="1"/>
    <b v="0"/>
    <x v="0"/>
    <n v="63722.6"/>
    <x v="2"/>
  </r>
  <r>
    <x v="20"/>
    <x v="1"/>
    <n v="37.715000000000003"/>
    <x v="2"/>
    <x v="1"/>
    <x v="2"/>
    <x v="1257"/>
    <n v="121.6"/>
    <x v="1"/>
    <b v="0"/>
    <x v="1"/>
    <n v="189226.48"/>
    <x v="2"/>
  </r>
  <r>
    <x v="14"/>
    <x v="0"/>
    <n v="23.18"/>
    <x v="0"/>
    <x v="1"/>
    <x v="3"/>
    <x v="1258"/>
    <n v="126.3"/>
    <x v="0"/>
    <b v="0"/>
    <x v="0"/>
    <n v="132799.45000000001"/>
    <x v="2"/>
  </r>
  <r>
    <x v="4"/>
    <x v="0"/>
    <n v="20.52"/>
    <x v="0"/>
    <x v="1"/>
    <x v="3"/>
    <x v="1259"/>
    <n v="128"/>
    <x v="1"/>
    <b v="0"/>
    <x v="0"/>
    <n v="125075.36"/>
    <x v="1"/>
  </r>
  <r>
    <x v="2"/>
    <x v="1"/>
    <n v="37.1"/>
    <x v="1"/>
    <x v="1"/>
    <x v="0"/>
    <x v="1260"/>
    <n v="118.1"/>
    <x v="1"/>
    <b v="1"/>
    <x v="1"/>
    <n v="56199.25"/>
    <x v="0"/>
  </r>
  <r>
    <x v="25"/>
    <x v="0"/>
    <n v="28.05"/>
    <x v="1"/>
    <x v="1"/>
    <x v="1"/>
    <x v="1261"/>
    <n v="135.19999999999999"/>
    <x v="1"/>
    <b v="0"/>
    <x v="2"/>
    <n v="89664.74"/>
    <x v="1"/>
  </r>
  <r>
    <x v="33"/>
    <x v="0"/>
    <n v="29.9"/>
    <x v="1"/>
    <x v="1"/>
    <x v="0"/>
    <x v="1262"/>
    <n v="110.9"/>
    <x v="0"/>
    <b v="0"/>
    <x v="2"/>
    <n v="116416.36"/>
    <x v="1"/>
  </r>
  <r>
    <x v="42"/>
    <x v="0"/>
    <n v="33.344999999999999"/>
    <x v="3"/>
    <x v="1"/>
    <x v="3"/>
    <x v="1263"/>
    <n v="112"/>
    <x v="3"/>
    <b v="1"/>
    <x v="0"/>
    <n v="50870.02"/>
    <x v="1"/>
  </r>
  <r>
    <x v="34"/>
    <x v="1"/>
    <n v="23.76"/>
    <x v="0"/>
    <x v="0"/>
    <x v="1"/>
    <x v="1264"/>
    <n v="118.2"/>
    <x v="0"/>
    <b v="1"/>
    <x v="1"/>
    <n v="123027.92"/>
    <x v="2"/>
  </r>
  <r>
    <x v="20"/>
    <x v="0"/>
    <n v="30.5"/>
    <x v="0"/>
    <x v="1"/>
    <x v="0"/>
    <x v="1265"/>
    <n v="127.4"/>
    <x v="0"/>
    <b v="0"/>
    <x v="2"/>
    <n v="167511.31"/>
    <x v="2"/>
  </r>
  <r>
    <x v="24"/>
    <x v="1"/>
    <n v="31.065000000000001"/>
    <x v="0"/>
    <x v="0"/>
    <x v="3"/>
    <x v="1266"/>
    <n v="135.1"/>
    <x v="3"/>
    <b v="0"/>
    <x v="1"/>
    <n v="49702.01"/>
    <x v="0"/>
  </r>
  <r>
    <x v="35"/>
    <x v="0"/>
    <n v="33.299999999999997"/>
    <x v="0"/>
    <x v="1"/>
    <x v="0"/>
    <x v="1267"/>
    <n v="136.4"/>
    <x v="1"/>
    <b v="0"/>
    <x v="2"/>
    <n v="64567.58"/>
    <x v="0"/>
  </r>
  <r>
    <x v="40"/>
    <x v="1"/>
    <n v="27.5"/>
    <x v="2"/>
    <x v="1"/>
    <x v="0"/>
    <x v="1268"/>
    <n v="135.69999999999999"/>
    <x v="1"/>
    <b v="1"/>
    <x v="2"/>
    <n v="121361.41"/>
    <x v="1"/>
  </r>
  <r>
    <x v="22"/>
    <x v="1"/>
    <n v="33.914999999999999"/>
    <x v="1"/>
    <x v="1"/>
    <x v="2"/>
    <x v="1269"/>
    <n v="135.4"/>
    <x v="3"/>
    <b v="0"/>
    <x v="0"/>
    <n v="106567.5"/>
    <x v="0"/>
  </r>
  <r>
    <x v="9"/>
    <x v="0"/>
    <n v="34.484999999999999"/>
    <x v="0"/>
    <x v="1"/>
    <x v="2"/>
    <x v="1270"/>
    <n v="122"/>
    <x v="2"/>
    <b v="1"/>
    <x v="1"/>
    <n v="118878.06"/>
    <x v="0"/>
  </r>
  <r>
    <x v="33"/>
    <x v="1"/>
    <n v="25.52"/>
    <x v="4"/>
    <x v="1"/>
    <x v="1"/>
    <x v="1271"/>
    <n v="119.1"/>
    <x v="1"/>
    <b v="1"/>
    <x v="2"/>
    <n v="117793.28"/>
    <x v="1"/>
  </r>
  <r>
    <x v="23"/>
    <x v="1"/>
    <n v="27.61"/>
    <x v="1"/>
    <x v="1"/>
    <x v="1"/>
    <x v="1272"/>
    <n v="131.5"/>
    <x v="3"/>
    <b v="0"/>
    <x v="1"/>
    <n v="96804.34"/>
    <x v="1"/>
  </r>
  <r>
    <x v="22"/>
    <x v="1"/>
    <n v="27.06"/>
    <x v="0"/>
    <x v="0"/>
    <x v="1"/>
    <x v="1273"/>
    <n v="135.5"/>
    <x v="3"/>
    <b v="1"/>
    <x v="0"/>
    <n v="163878.89000000001"/>
    <x v="0"/>
  </r>
  <r>
    <x v="38"/>
    <x v="1"/>
    <n v="23.7"/>
    <x v="0"/>
    <x v="1"/>
    <x v="0"/>
    <x v="1274"/>
    <n v="135.69999999999999"/>
    <x v="2"/>
    <b v="0"/>
    <x v="2"/>
    <n v="65865.37"/>
    <x v="2"/>
  </r>
  <r>
    <x v="21"/>
    <x v="0"/>
    <n v="30.4"/>
    <x v="0"/>
    <x v="1"/>
    <x v="3"/>
    <x v="1275"/>
    <n v="124.1"/>
    <x v="2"/>
    <b v="0"/>
    <x v="2"/>
    <n v="84291.99"/>
    <x v="0"/>
  </r>
  <r>
    <x v="4"/>
    <x v="0"/>
    <n v="29.734999999999999"/>
    <x v="0"/>
    <x v="1"/>
    <x v="2"/>
    <x v="1276"/>
    <n v="111.2"/>
    <x v="0"/>
    <b v="0"/>
    <x v="0"/>
    <n v="199465.88"/>
    <x v="1"/>
  </r>
  <r>
    <x v="11"/>
    <x v="1"/>
    <n v="29.925000000000001"/>
    <x v="1"/>
    <x v="0"/>
    <x v="3"/>
    <x v="1277"/>
    <n v="128.9"/>
    <x v="2"/>
    <b v="0"/>
    <x v="0"/>
    <n v="75259.199999999997"/>
    <x v="1"/>
  </r>
  <r>
    <x v="9"/>
    <x v="0"/>
    <n v="26.79"/>
    <x v="3"/>
    <x v="1"/>
    <x v="2"/>
    <x v="1278"/>
    <n v="117.8"/>
    <x v="0"/>
    <b v="0"/>
    <x v="0"/>
    <n v="162161.04"/>
    <x v="0"/>
  </r>
  <r>
    <x v="29"/>
    <x v="0"/>
    <n v="33.33"/>
    <x v="0"/>
    <x v="1"/>
    <x v="1"/>
    <x v="1279"/>
    <n v="120.8"/>
    <x v="2"/>
    <b v="1"/>
    <x v="2"/>
    <n v="192565.03"/>
    <x v="1"/>
  </r>
  <r>
    <x v="43"/>
    <x v="0"/>
    <n v="27.645"/>
    <x v="3"/>
    <x v="0"/>
    <x v="2"/>
    <x v="1280"/>
    <n v="111.9"/>
    <x v="3"/>
    <b v="0"/>
    <x v="0"/>
    <n v="128802.7"/>
    <x v="1"/>
  </r>
  <r>
    <x v="1"/>
    <x v="0"/>
    <n v="21.66"/>
    <x v="0"/>
    <x v="0"/>
    <x v="3"/>
    <x v="1281"/>
    <n v="133.19999999999999"/>
    <x v="2"/>
    <b v="0"/>
    <x v="0"/>
    <n v="54023.19"/>
    <x v="0"/>
  </r>
  <r>
    <x v="1"/>
    <x v="1"/>
    <n v="30.03"/>
    <x v="1"/>
    <x v="1"/>
    <x v="1"/>
    <x v="1282"/>
    <n v="125.3"/>
    <x v="0"/>
    <b v="1"/>
    <x v="2"/>
    <n v="150015.73000000001"/>
    <x v="0"/>
  </r>
  <r>
    <x v="36"/>
    <x v="1"/>
    <n v="36.299999999999997"/>
    <x v="1"/>
    <x v="0"/>
    <x v="0"/>
    <x v="1283"/>
    <n v="110.6"/>
    <x v="1"/>
    <b v="0"/>
    <x v="0"/>
    <n v="107330.49"/>
    <x v="2"/>
  </r>
  <r>
    <x v="43"/>
    <x v="0"/>
    <n v="24.32"/>
    <x v="0"/>
    <x v="1"/>
    <x v="3"/>
    <x v="1284"/>
    <n v="127.4"/>
    <x v="3"/>
    <b v="0"/>
    <x v="1"/>
    <n v="106521.66"/>
    <x v="1"/>
  </r>
  <r>
    <x v="2"/>
    <x v="0"/>
    <n v="17.29"/>
    <x v="0"/>
    <x v="1"/>
    <x v="3"/>
    <x v="1285"/>
    <n v="126.1"/>
    <x v="1"/>
    <b v="1"/>
    <x v="1"/>
    <n v="33173.35"/>
    <x v="0"/>
  </r>
  <r>
    <x v="27"/>
    <x v="0"/>
    <n v="25.9"/>
    <x v="1"/>
    <x v="1"/>
    <x v="0"/>
    <x v="1286"/>
    <n v="120.9"/>
    <x v="1"/>
    <b v="0"/>
    <x v="1"/>
    <n v="183777.28"/>
    <x v="1"/>
  </r>
  <r>
    <x v="35"/>
    <x v="1"/>
    <n v="39.4"/>
    <x v="3"/>
    <x v="0"/>
    <x v="0"/>
    <x v="1287"/>
    <n v="125.2"/>
    <x v="2"/>
    <b v="0"/>
    <x v="1"/>
    <n v="103243.95"/>
    <x v="0"/>
  </r>
  <r>
    <x v="37"/>
    <x v="1"/>
    <n v="34.32"/>
    <x v="1"/>
    <x v="1"/>
    <x v="1"/>
    <x v="1288"/>
    <n v="117.2"/>
    <x v="2"/>
    <b v="1"/>
    <x v="0"/>
    <n v="75454.929999999993"/>
    <x v="1"/>
  </r>
  <r>
    <x v="26"/>
    <x v="0"/>
    <n v="19.95"/>
    <x v="3"/>
    <x v="1"/>
    <x v="3"/>
    <x v="1289"/>
    <n v="111.3"/>
    <x v="1"/>
    <b v="0"/>
    <x v="2"/>
    <n v="180574.26"/>
    <x v="1"/>
  </r>
  <r>
    <x v="0"/>
    <x v="1"/>
    <n v="34.9"/>
    <x v="0"/>
    <x v="0"/>
    <x v="0"/>
    <x v="1290"/>
    <n v="114.3"/>
    <x v="3"/>
    <b v="1"/>
    <x v="0"/>
    <n v="157998.29999999999"/>
    <x v="0"/>
  </r>
  <r>
    <x v="28"/>
    <x v="1"/>
    <n v="23.21"/>
    <x v="0"/>
    <x v="1"/>
    <x v="1"/>
    <x v="1291"/>
    <n v="121.6"/>
    <x v="1"/>
    <b v="0"/>
    <x v="1"/>
    <n v="151387.93"/>
    <x v="0"/>
  </r>
  <r>
    <x v="6"/>
    <x v="1"/>
    <n v="25.745000000000001"/>
    <x v="2"/>
    <x v="1"/>
    <x v="2"/>
    <x v="1292"/>
    <n v="137.9"/>
    <x v="1"/>
    <b v="1"/>
    <x v="1"/>
    <n v="150974.35"/>
    <x v="1"/>
  </r>
  <r>
    <x v="31"/>
    <x v="1"/>
    <n v="25.175000000000001"/>
    <x v="0"/>
    <x v="1"/>
    <x v="3"/>
    <x v="1293"/>
    <n v="118.4"/>
    <x v="1"/>
    <b v="1"/>
    <x v="2"/>
    <n v="82990.06"/>
    <x v="2"/>
  </r>
  <r>
    <x v="35"/>
    <x v="1"/>
    <n v="22"/>
    <x v="1"/>
    <x v="1"/>
    <x v="0"/>
    <x v="1294"/>
    <n v="127.1"/>
    <x v="3"/>
    <b v="0"/>
    <x v="0"/>
    <n v="122266.63"/>
    <x v="0"/>
  </r>
  <r>
    <x v="1"/>
    <x v="1"/>
    <n v="26.125"/>
    <x v="0"/>
    <x v="1"/>
    <x v="3"/>
    <x v="1295"/>
    <n v="125.5"/>
    <x v="0"/>
    <b v="0"/>
    <x v="2"/>
    <n v="37646.74"/>
    <x v="0"/>
  </r>
  <r>
    <x v="2"/>
    <x v="0"/>
    <n v="26.51"/>
    <x v="3"/>
    <x v="1"/>
    <x v="1"/>
    <x v="1296"/>
    <n v="117.7"/>
    <x v="2"/>
    <b v="1"/>
    <x v="0"/>
    <n v="164099.75"/>
    <x v="0"/>
  </r>
  <r>
    <x v="3"/>
    <x v="1"/>
    <n v="27.454999999999998"/>
    <x v="3"/>
    <x v="1"/>
    <x v="2"/>
    <x v="1297"/>
    <n v="124.9"/>
    <x v="3"/>
    <b v="0"/>
    <x v="1"/>
    <n v="138480.99"/>
    <x v="1"/>
  </r>
  <r>
    <x v="0"/>
    <x v="0"/>
    <n v="25.745000000000001"/>
    <x v="1"/>
    <x v="1"/>
    <x v="2"/>
    <x v="1298"/>
    <n v="127.4"/>
    <x v="1"/>
    <b v="0"/>
    <x v="2"/>
    <n v="102801.39"/>
    <x v="0"/>
  </r>
  <r>
    <x v="40"/>
    <x v="1"/>
    <n v="30.36"/>
    <x v="0"/>
    <x v="0"/>
    <x v="1"/>
    <x v="1299"/>
    <n v="113.1"/>
    <x v="3"/>
    <b v="0"/>
    <x v="1"/>
    <n v="123523.36"/>
    <x v="1"/>
  </r>
  <r>
    <x v="10"/>
    <x v="1"/>
    <n v="30.875"/>
    <x v="2"/>
    <x v="0"/>
    <x v="2"/>
    <x v="1300"/>
    <n v="122.6"/>
    <x v="1"/>
    <b v="1"/>
    <x v="1"/>
    <n v="63004.84"/>
    <x v="2"/>
  </r>
  <r>
    <x v="9"/>
    <x v="0"/>
    <n v="20.8"/>
    <x v="1"/>
    <x v="1"/>
    <x v="0"/>
    <x v="1301"/>
    <n v="131.4"/>
    <x v="0"/>
    <b v="0"/>
    <x v="2"/>
    <n v="108267.33"/>
    <x v="0"/>
  </r>
  <r>
    <x v="33"/>
    <x v="1"/>
    <n v="27.8"/>
    <x v="0"/>
    <x v="0"/>
    <x v="0"/>
    <x v="1302"/>
    <n v="119.1"/>
    <x v="1"/>
    <b v="1"/>
    <x v="2"/>
    <n v="154960.82999999999"/>
    <x v="1"/>
  </r>
  <r>
    <x v="45"/>
    <x v="1"/>
    <n v="24.605"/>
    <x v="3"/>
    <x v="0"/>
    <x v="3"/>
    <x v="1303"/>
    <n v="131.19999999999999"/>
    <x v="3"/>
    <b v="1"/>
    <x v="0"/>
    <n v="54857.11"/>
    <x v="1"/>
  </r>
  <r>
    <x v="24"/>
    <x v="0"/>
    <n v="27.72"/>
    <x v="0"/>
    <x v="1"/>
    <x v="1"/>
    <x v="1304"/>
    <n v="133.19999999999999"/>
    <x v="2"/>
    <b v="1"/>
    <x v="1"/>
    <n v="158707.18"/>
    <x v="0"/>
  </r>
  <r>
    <x v="39"/>
    <x v="0"/>
    <n v="21.85"/>
    <x v="0"/>
    <x v="0"/>
    <x v="3"/>
    <x v="1305"/>
    <n v="138.4"/>
    <x v="1"/>
    <b v="1"/>
    <x v="0"/>
    <n v="45328.74"/>
    <x v="0"/>
  </r>
  <r>
    <x v="4"/>
    <x v="1"/>
    <n v="28.12"/>
    <x v="5"/>
    <x v="0"/>
    <x v="2"/>
    <x v="1306"/>
    <n v="111.1"/>
    <x v="3"/>
    <b v="1"/>
    <x v="1"/>
    <n v="57676.33"/>
    <x v="1"/>
  </r>
  <r>
    <x v="9"/>
    <x v="0"/>
    <n v="30.2"/>
    <x v="0"/>
    <x v="0"/>
    <x v="0"/>
    <x v="1307"/>
    <n v="129.69999999999999"/>
    <x v="0"/>
    <b v="0"/>
    <x v="0"/>
    <n v="79557.25"/>
    <x v="0"/>
  </r>
  <r>
    <x v="25"/>
    <x v="1"/>
    <n v="32.200000000000003"/>
    <x v="3"/>
    <x v="1"/>
    <x v="0"/>
    <x v="1308"/>
    <n v="139.30000000000001"/>
    <x v="0"/>
    <b v="1"/>
    <x v="1"/>
    <n v="33841.33"/>
    <x v="1"/>
  </r>
  <r>
    <x v="45"/>
    <x v="1"/>
    <n v="26.315000000000001"/>
    <x v="1"/>
    <x v="1"/>
    <x v="2"/>
    <x v="1309"/>
    <n v="138.4"/>
    <x v="3"/>
    <b v="1"/>
    <x v="1"/>
    <n v="64060.23"/>
    <x v="1"/>
  </r>
  <r>
    <x v="3"/>
    <x v="0"/>
    <n v="26.695"/>
    <x v="0"/>
    <x v="1"/>
    <x v="2"/>
    <x v="1310"/>
    <n v="117.8"/>
    <x v="3"/>
    <b v="1"/>
    <x v="2"/>
    <n v="167718.85999999999"/>
    <x v="1"/>
  </r>
  <r>
    <x v="17"/>
    <x v="1"/>
    <n v="42.9"/>
    <x v="1"/>
    <x v="1"/>
    <x v="0"/>
    <x v="1311"/>
    <n v="116.6"/>
    <x v="1"/>
    <b v="1"/>
    <x v="2"/>
    <n v="115356.99"/>
    <x v="1"/>
  </r>
  <r>
    <x v="0"/>
    <x v="0"/>
    <n v="34.700000000000003"/>
    <x v="3"/>
    <x v="0"/>
    <x v="0"/>
    <x v="1312"/>
    <n v="111.6"/>
    <x v="1"/>
    <b v="1"/>
    <x v="0"/>
    <n v="175193.49"/>
    <x v="0"/>
  </r>
  <r>
    <x v="16"/>
    <x v="0"/>
    <n v="23.655000000000001"/>
    <x v="2"/>
    <x v="0"/>
    <x v="2"/>
    <x v="1313"/>
    <n v="121.2"/>
    <x v="3"/>
    <b v="1"/>
    <x v="1"/>
    <n v="86426.27"/>
    <x v="1"/>
  </r>
  <r>
    <x v="1"/>
    <x v="1"/>
    <n v="28.31"/>
    <x v="1"/>
    <x v="1"/>
    <x v="3"/>
    <x v="1314"/>
    <n v="112"/>
    <x v="3"/>
    <b v="0"/>
    <x v="2"/>
    <n v="154096.24"/>
    <x v="0"/>
  </r>
  <r>
    <x v="0"/>
    <x v="0"/>
    <n v="20.6"/>
    <x v="0"/>
    <x v="1"/>
    <x v="0"/>
    <x v="1315"/>
    <n v="111.3"/>
    <x v="0"/>
    <b v="0"/>
    <x v="2"/>
    <n v="188071.89"/>
    <x v="0"/>
  </r>
  <r>
    <x v="1"/>
    <x v="1"/>
    <n v="53.13"/>
    <x v="0"/>
    <x v="1"/>
    <x v="1"/>
    <x v="1316"/>
    <n v="122.7"/>
    <x v="0"/>
    <b v="0"/>
    <x v="2"/>
    <n v="46351.05"/>
    <x v="0"/>
  </r>
  <r>
    <x v="23"/>
    <x v="1"/>
    <n v="39.71"/>
    <x v="5"/>
    <x v="1"/>
    <x v="3"/>
    <x v="1317"/>
    <n v="123.2"/>
    <x v="1"/>
    <b v="1"/>
    <x v="1"/>
    <n v="62837.67"/>
    <x v="1"/>
  </r>
  <r>
    <x v="11"/>
    <x v="0"/>
    <n v="26.315000000000001"/>
    <x v="3"/>
    <x v="1"/>
    <x v="2"/>
    <x v="1318"/>
    <n v="138.4"/>
    <x v="2"/>
    <b v="0"/>
    <x v="2"/>
    <n v="36486.910000000003"/>
    <x v="1"/>
  </r>
  <r>
    <x v="5"/>
    <x v="1"/>
    <n v="31.065000000000001"/>
    <x v="2"/>
    <x v="1"/>
    <x v="2"/>
    <x v="1319"/>
    <n v="128.69999999999999"/>
    <x v="3"/>
    <b v="1"/>
    <x v="1"/>
    <n v="97371.68"/>
    <x v="1"/>
  </r>
  <r>
    <x v="10"/>
    <x v="1"/>
    <n v="26.695"/>
    <x v="0"/>
    <x v="0"/>
    <x v="3"/>
    <x v="1320"/>
    <n v="116.7"/>
    <x v="1"/>
    <b v="1"/>
    <x v="0"/>
    <n v="104204.04"/>
    <x v="2"/>
  </r>
  <r>
    <x v="10"/>
    <x v="1"/>
    <n v="38.83"/>
    <x v="0"/>
    <x v="1"/>
    <x v="1"/>
    <x v="1321"/>
    <n v="118.6"/>
    <x v="0"/>
    <b v="0"/>
    <x v="1"/>
    <n v="78867.259999999995"/>
    <x v="2"/>
  </r>
  <r>
    <x v="45"/>
    <x v="0"/>
    <n v="40.369999999999997"/>
    <x v="3"/>
    <x v="0"/>
    <x v="1"/>
    <x v="1322"/>
    <n v="126.6"/>
    <x v="3"/>
    <b v="1"/>
    <x v="2"/>
    <n v="91392.15"/>
    <x v="1"/>
  </r>
  <r>
    <x v="5"/>
    <x v="1"/>
    <n v="25.934999999999999"/>
    <x v="1"/>
    <x v="1"/>
    <x v="2"/>
    <x v="1323"/>
    <n v="125.6"/>
    <x v="2"/>
    <b v="1"/>
    <x v="1"/>
    <n v="58835.74"/>
    <x v="1"/>
  </r>
  <r>
    <x v="36"/>
    <x v="1"/>
    <n v="33.534999999999997"/>
    <x v="0"/>
    <x v="1"/>
    <x v="3"/>
    <x v="1324"/>
    <n v="118.8"/>
    <x v="2"/>
    <b v="1"/>
    <x v="0"/>
    <n v="49431.16"/>
    <x v="2"/>
  </r>
  <r>
    <x v="45"/>
    <x v="0"/>
    <n v="32.869999999999997"/>
    <x v="0"/>
    <x v="1"/>
    <x v="3"/>
    <x v="1325"/>
    <n v="134.19999999999999"/>
    <x v="2"/>
    <b v="1"/>
    <x v="1"/>
    <n v="126036.47"/>
    <x v="1"/>
  </r>
  <r>
    <x v="44"/>
    <x v="1"/>
    <n v="30.03"/>
    <x v="1"/>
    <x v="1"/>
    <x v="1"/>
    <x v="1326"/>
    <n v="123.8"/>
    <x v="0"/>
    <b v="0"/>
    <x v="1"/>
    <n v="184702.55"/>
    <x v="2"/>
  </r>
  <r>
    <x v="15"/>
    <x v="0"/>
    <n v="24.225000000000001"/>
    <x v="3"/>
    <x v="1"/>
    <x v="3"/>
    <x v="1327"/>
    <n v="127.6"/>
    <x v="2"/>
    <b v="1"/>
    <x v="1"/>
    <n v="109793.16"/>
    <x v="0"/>
  </r>
  <r>
    <x v="14"/>
    <x v="1"/>
    <n v="38.6"/>
    <x v="3"/>
    <x v="1"/>
    <x v="0"/>
    <x v="1328"/>
    <n v="114.5"/>
    <x v="0"/>
    <b v="1"/>
    <x v="0"/>
    <n v="180625.94"/>
    <x v="2"/>
  </r>
  <r>
    <x v="38"/>
    <x v="0"/>
    <n v="25.74"/>
    <x v="3"/>
    <x v="1"/>
    <x v="1"/>
    <x v="1329"/>
    <n v="126.7"/>
    <x v="3"/>
    <b v="0"/>
    <x v="0"/>
    <n v="167927.29"/>
    <x v="2"/>
  </r>
  <r>
    <x v="15"/>
    <x v="0"/>
    <n v="33.4"/>
    <x v="0"/>
    <x v="1"/>
    <x v="0"/>
    <x v="1330"/>
    <n v="134"/>
    <x v="3"/>
    <b v="1"/>
    <x v="0"/>
    <n v="128348.04"/>
    <x v="0"/>
  </r>
  <r>
    <x v="14"/>
    <x v="0"/>
    <n v="44.7"/>
    <x v="2"/>
    <x v="1"/>
    <x v="0"/>
    <x v="1331"/>
    <n v="127.1"/>
    <x v="0"/>
    <b v="1"/>
    <x v="0"/>
    <n v="58921.67"/>
    <x v="2"/>
  </r>
  <r>
    <x v="46"/>
    <x v="1"/>
    <n v="30.97"/>
    <x v="2"/>
    <x v="1"/>
    <x v="2"/>
    <x v="1332"/>
    <n v="116"/>
    <x v="3"/>
    <b v="0"/>
    <x v="1"/>
    <n v="189712.16"/>
    <x v="1"/>
  </r>
  <r>
    <x v="1"/>
    <x v="0"/>
    <n v="31.92"/>
    <x v="0"/>
    <x v="1"/>
    <x v="3"/>
    <x v="1333"/>
    <n v="135.30000000000001"/>
    <x v="0"/>
    <b v="1"/>
    <x v="2"/>
    <n v="55686.61"/>
    <x v="0"/>
  </r>
  <r>
    <x v="1"/>
    <x v="0"/>
    <n v="36.85"/>
    <x v="0"/>
    <x v="1"/>
    <x v="1"/>
    <x v="1334"/>
    <n v="124.5"/>
    <x v="3"/>
    <b v="1"/>
    <x v="2"/>
    <n v="189304.28"/>
    <x v="0"/>
  </r>
  <r>
    <x v="28"/>
    <x v="0"/>
    <n v="25.8"/>
    <x v="0"/>
    <x v="1"/>
    <x v="0"/>
    <x v="1335"/>
    <n v="137.1"/>
    <x v="2"/>
    <b v="1"/>
    <x v="2"/>
    <n v="134425.60999999999"/>
    <x v="0"/>
  </r>
  <r>
    <x v="36"/>
    <x v="0"/>
    <n v="30.4"/>
    <x v="0"/>
    <x v="0"/>
    <x v="2"/>
    <x v="1336"/>
    <n v="129.1"/>
    <x v="3"/>
    <b v="0"/>
    <x v="1"/>
    <n v="83521.6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6F3C3-A03F-445B-8C04-3EF0C0588BF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2:A123" firstHeaderRow="1" firstDataRow="1" firstDataCol="0"/>
  <pivotFields count="13">
    <pivotField dataField="1"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 showAll="0"/>
    <pivotField showAll="0">
      <items count="5">
        <item x="3"/>
        <item x="0"/>
        <item x="2"/>
        <item x="1"/>
        <item t="default"/>
      </items>
    </pivotField>
    <pivotField showAll="0"/>
    <pivotField showAll="0">
      <items count="4">
        <item x="0"/>
        <item x="2"/>
        <item x="1"/>
        <item t="default"/>
      </items>
    </pivotField>
    <pivotField showAll="0"/>
    <pivotField showAll="0">
      <items count="4">
        <item x="1"/>
        <item x="2"/>
        <item x="0"/>
        <item t="default"/>
      </items>
    </pivotField>
  </pivotFields>
  <rowItems count="1">
    <i/>
  </rowItems>
  <colItems count="1">
    <i/>
  </colItems>
  <dataFields count="1">
    <dataField name="Count of A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DA6921-4BBA-4DF9-A3B9-07F28BA01E0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5:A116" firstHeaderRow="1" firstDataRow="1" firstDataCol="0"/>
  <pivotFields count="13">
    <pivotField showAll="0"/>
    <pivotField showAll="0">
      <items count="3">
        <item x="0"/>
        <item x="1"/>
        <item t="default"/>
      </items>
    </pivotField>
    <pivotField dataField="1" showAll="0"/>
    <pivotField showAll="0"/>
    <pivotField showAll="0">
      <items count="3">
        <item x="1"/>
        <item x="0"/>
        <item t="default"/>
      </items>
    </pivotField>
    <pivotField showAll="0">
      <items count="5">
        <item x="3"/>
        <item x="2"/>
        <item x="1"/>
        <item x="0"/>
        <item t="default"/>
      </items>
    </pivotField>
    <pivotField showAll="0"/>
    <pivotField showAll="0"/>
    <pivotField showAll="0">
      <items count="5">
        <item x="3"/>
        <item x="0"/>
        <item x="2"/>
        <item x="1"/>
        <item t="default"/>
      </items>
    </pivotField>
    <pivotField showAll="0"/>
    <pivotField showAll="0">
      <items count="4">
        <item x="0"/>
        <item x="2"/>
        <item x="1"/>
        <item t="default"/>
      </items>
    </pivotField>
    <pivotField showAll="0"/>
    <pivotField showAll="0">
      <items count="4">
        <item x="1"/>
        <item x="2"/>
        <item x="0"/>
        <item t="default"/>
      </items>
    </pivotField>
  </pivotFields>
  <rowItems count="1">
    <i/>
  </rowItems>
  <colItems count="1">
    <i/>
  </colItems>
  <dataFields count="1">
    <dataField name="Average of BMI" fld="2" subtotal="average" baseField="0" baseItem="0" numFmtId="1"/>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E4EDE-F682-47C0-AC57-323A0CE993C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A36:B40" firstHeaderRow="1" firstDataRow="1" firstDataCol="1"/>
  <pivotFields count="13">
    <pivotField showAll="0">
      <items count="48">
        <item x="1"/>
        <item x="0"/>
        <item x="35"/>
        <item x="28"/>
        <item x="21"/>
        <item x="15"/>
        <item x="24"/>
        <item x="9"/>
        <item x="22"/>
        <item x="13"/>
        <item x="2"/>
        <item x="39"/>
        <item x="16"/>
        <item x="5"/>
        <item x="4"/>
        <item x="3"/>
        <item x="17"/>
        <item x="23"/>
        <item x="27"/>
        <item x="7"/>
        <item x="26"/>
        <item x="11"/>
        <item x="30"/>
        <item x="25"/>
        <item x="45"/>
        <item x="33"/>
        <item x="37"/>
        <item x="40"/>
        <item x="6"/>
        <item x="43"/>
        <item x="29"/>
        <item x="42"/>
        <item x="46"/>
        <item x="44"/>
        <item x="14"/>
        <item x="32"/>
        <item x="41"/>
        <item x="20"/>
        <item x="12"/>
        <item x="38"/>
        <item x="31"/>
        <item x="18"/>
        <item x="8"/>
        <item x="36"/>
        <item x="10"/>
        <item x="19"/>
        <item x="34"/>
        <item t="default"/>
      </items>
    </pivotField>
    <pivotField showAll="0">
      <items count="3">
        <item x="0"/>
        <item x="1"/>
        <item t="default"/>
      </items>
    </pivotField>
    <pivotField dataField="1" showAll="0"/>
    <pivotField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showAll="0">
      <items count="1338">
        <item x="939"/>
        <item x="807"/>
        <item x="1243"/>
        <item x="662"/>
        <item x="22"/>
        <item x="194"/>
        <item x="865"/>
        <item x="780"/>
        <item x="442"/>
        <item x="1316"/>
        <item x="1250"/>
        <item x="680"/>
        <item x="583"/>
        <item x="790"/>
        <item x="487"/>
        <item x="513"/>
        <item x="136"/>
        <item x="385"/>
        <item x="722"/>
        <item x="374"/>
        <item x="1291"/>
        <item x="839"/>
        <item x="77"/>
        <item x="478"/>
        <item x="359"/>
        <item x="236"/>
        <item x="410"/>
        <item x="821"/>
        <item x="482"/>
        <item x="35"/>
        <item x="746"/>
        <item x="942"/>
        <item x="1334"/>
        <item x="399"/>
        <item x="181"/>
        <item x="464"/>
        <item x="133"/>
        <item x="599"/>
        <item x="1247"/>
        <item x="897"/>
        <item x="349"/>
        <item x="195"/>
        <item x="559"/>
        <item x="576"/>
        <item x="1096"/>
        <item x="887"/>
        <item x="172"/>
        <item x="1211"/>
        <item x="295"/>
        <item x="1040"/>
        <item x="121"/>
        <item x="529"/>
        <item x="1295"/>
        <item x="1022"/>
        <item x="647"/>
        <item x="270"/>
        <item x="1282"/>
        <item x="1"/>
        <item x="709"/>
        <item x="232"/>
        <item x="1128"/>
        <item x="1315"/>
        <item x="311"/>
        <item x="65"/>
        <item x="472"/>
        <item x="490"/>
        <item x="972"/>
        <item x="453"/>
        <item x="803"/>
        <item x="479"/>
        <item x="12"/>
        <item x="248"/>
        <item x="15"/>
        <item x="358"/>
        <item x="149"/>
        <item x="854"/>
        <item x="814"/>
        <item x="613"/>
        <item x="1267"/>
        <item x="750"/>
        <item x="1071"/>
        <item x="786"/>
        <item x="1294"/>
        <item x="495"/>
        <item x="452"/>
        <item x="1001"/>
        <item x="630"/>
        <item x="210"/>
        <item x="1059"/>
        <item x="712"/>
        <item x="247"/>
        <item x="1335"/>
        <item x="1024"/>
        <item x="699"/>
        <item x="90"/>
        <item x="137"/>
        <item x="1201"/>
        <item x="1076"/>
        <item x="801"/>
        <item x="689"/>
        <item x="898"/>
        <item x="565"/>
        <item x="200"/>
        <item x="414"/>
        <item x="806"/>
        <item x="192"/>
        <item x="391"/>
        <item x="277"/>
        <item x="1174"/>
        <item x="135"/>
        <item x="293"/>
        <item x="139"/>
        <item x="492"/>
        <item x="31"/>
        <item x="1162"/>
        <item x="469"/>
        <item x="471"/>
        <item x="1149"/>
        <item x="1333"/>
        <item x="611"/>
        <item x="50"/>
        <item x="941"/>
        <item x="727"/>
        <item x="571"/>
        <item x="896"/>
        <item x="1037"/>
        <item x="436"/>
        <item x="122"/>
        <item x="1146"/>
        <item x="37"/>
        <item x="937"/>
        <item x="973"/>
        <item x="106"/>
        <item x="692"/>
        <item x="691"/>
        <item x="17"/>
        <item x="1113"/>
        <item x="113"/>
        <item x="760"/>
        <item x="846"/>
        <item x="134"/>
        <item x="713"/>
        <item x="1157"/>
        <item x="1304"/>
        <item x="914"/>
        <item x="1057"/>
        <item x="217"/>
        <item x="562"/>
        <item x="470"/>
        <item x="511"/>
        <item x="274"/>
        <item x="971"/>
        <item x="477"/>
        <item x="591"/>
        <item x="679"/>
        <item x="881"/>
        <item x="363"/>
        <item x="1181"/>
        <item x="909"/>
        <item x="506"/>
        <item x="820"/>
        <item x="226"/>
        <item x="874"/>
        <item x="1234"/>
        <item x="635"/>
        <item x="1015"/>
        <item x="1298"/>
        <item x="168"/>
        <item x="10"/>
        <item x="423"/>
        <item x="959"/>
        <item x="791"/>
        <item x="1275"/>
        <item x="78"/>
        <item x="28"/>
        <item x="880"/>
        <item x="564"/>
        <item x="276"/>
        <item x="815"/>
        <item x="1180"/>
        <item x="174"/>
        <item x="324"/>
        <item x="108"/>
        <item x="439"/>
        <item x="1177"/>
        <item x="976"/>
        <item x="1107"/>
        <item x="925"/>
        <item x="929"/>
        <item x="847"/>
        <item x="1270"/>
        <item x="508"/>
        <item x="40"/>
        <item x="541"/>
        <item x="748"/>
        <item x="762"/>
        <item x="507"/>
        <item x="1042"/>
        <item x="428"/>
        <item x="1242"/>
        <item x="290"/>
        <item x="1136"/>
        <item x="388"/>
        <item x="364"/>
        <item x="694"/>
        <item x="579"/>
        <item x="1301"/>
        <item x="548"/>
        <item x="1098"/>
        <item x="1238"/>
        <item x="404"/>
        <item x="546"/>
        <item x="1260"/>
        <item x="967"/>
        <item x="1269"/>
        <item x="808"/>
        <item x="960"/>
        <item x="1053"/>
        <item x="631"/>
        <item x="989"/>
        <item x="125"/>
        <item x="870"/>
        <item x="218"/>
        <item x="46"/>
        <item x="655"/>
        <item x="879"/>
        <item x="1101"/>
        <item x="369"/>
        <item x="736"/>
        <item x="141"/>
        <item x="698"/>
        <item x="212"/>
        <item x="352"/>
        <item x="47"/>
        <item x="605"/>
        <item x="326"/>
        <item x="693"/>
        <item x="51"/>
        <item x="1091"/>
        <item x="1047"/>
        <item x="816"/>
        <item x="101"/>
        <item x="619"/>
        <item x="1130"/>
        <item x="1137"/>
        <item x="1285"/>
        <item x="624"/>
        <item x="5"/>
        <item x="742"/>
        <item x="570"/>
        <item x="95"/>
        <item x="555"/>
        <item x="519"/>
        <item x="585"/>
        <item x="4"/>
        <item x="954"/>
        <item x="107"/>
        <item x="294"/>
        <item x="759"/>
        <item x="557"/>
        <item x="670"/>
        <item x="76"/>
        <item x="1213"/>
        <item x="551"/>
        <item x="186"/>
        <item x="1016"/>
        <item x="1158"/>
        <item x="521"/>
        <item x="182"/>
        <item x="451"/>
        <item x="249"/>
        <item x="1216"/>
        <item x="656"/>
        <item x="409"/>
        <item x="1082"/>
        <item x="63"/>
        <item x="1193"/>
        <item x="1031"/>
        <item x="21"/>
        <item x="307"/>
        <item x="406"/>
        <item x="1278"/>
        <item x="731"/>
        <item x="282"/>
        <item x="1323"/>
        <item x="434"/>
        <item x="253"/>
        <item x="795"/>
        <item x="1241"/>
        <item x="922"/>
        <item x="205"/>
        <item x="1296"/>
        <item x="485"/>
        <item x="303"/>
        <item x="783"/>
        <item x="1276"/>
        <item x="868"/>
        <item x="671"/>
        <item x="835"/>
        <item x="1253"/>
        <item x="812"/>
        <item x="1004"/>
        <item x="1173"/>
        <item x="607"/>
        <item x="1005"/>
        <item x="80"/>
        <item x="2"/>
        <item x="1080"/>
        <item x="1058"/>
        <item x="237"/>
        <item x="642"/>
        <item x="980"/>
        <item x="61"/>
        <item x="987"/>
        <item x="951"/>
        <item x="1166"/>
        <item x="1311"/>
        <item x="1259"/>
        <item x="1094"/>
        <item x="1074"/>
        <item x="904"/>
        <item x="1310"/>
        <item x="389"/>
        <item x="112"/>
        <item x="901"/>
        <item x="319"/>
        <item x="1167"/>
        <item x="933"/>
        <item x="454"/>
        <item x="32"/>
        <item x="1219"/>
        <item x="796"/>
        <item x="831"/>
        <item x="440"/>
        <item x="964"/>
        <item x="1272"/>
        <item x="361"/>
        <item x="572"/>
        <item x="449"/>
        <item x="683"/>
        <item x="584"/>
        <item x="1224"/>
        <item x="169"/>
        <item x="166"/>
        <item x="669"/>
        <item x="905"/>
        <item x="883"/>
        <item x="191"/>
        <item x="978"/>
        <item x="346"/>
        <item x="320"/>
        <item x="431"/>
        <item x="983"/>
        <item x="189"/>
        <item x="496"/>
        <item x="1198"/>
        <item x="41"/>
        <item x="970"/>
        <item x="213"/>
        <item x="104"/>
        <item x="220"/>
        <item x="164"/>
        <item x="754"/>
        <item x="413"/>
        <item x="1204"/>
        <item x="1160"/>
        <item x="150"/>
        <item x="145"/>
        <item x="661"/>
        <item x="163"/>
        <item x="787"/>
        <item x="1164"/>
        <item x="518"/>
        <item x="918"/>
        <item x="173"/>
        <item x="222"/>
        <item x="913"/>
        <item x="1297"/>
        <item x="830"/>
        <item x="998"/>
        <item x="886"/>
        <item x="1112"/>
        <item x="187"/>
        <item x="1189"/>
        <item x="241"/>
        <item x="1209"/>
        <item x="704"/>
        <item x="833"/>
        <item x="1013"/>
        <item x="702"/>
        <item x="523"/>
        <item x="257"/>
        <item x="1215"/>
        <item x="1319"/>
        <item x="757"/>
        <item x="686"/>
        <item x="862"/>
        <item x="708"/>
        <item x="1286"/>
        <item x="348"/>
        <item x="992"/>
        <item x="921"/>
        <item x="813"/>
        <item x="596"/>
        <item x="1244"/>
        <item x="1152"/>
        <item x="196"/>
        <item x="789"/>
        <item x="1118"/>
        <item x="1196"/>
        <item x="1063"/>
        <item x="593"/>
        <item x="93"/>
        <item x="1066"/>
        <item x="1126"/>
        <item x="383"/>
        <item x="1081"/>
        <item x="448"/>
        <item x="68"/>
        <item x="437"/>
        <item x="777"/>
        <item x="871"/>
        <item x="432"/>
        <item x="536"/>
        <item x="504"/>
        <item x="588"/>
        <item x="1148"/>
        <item x="59"/>
        <item x="1246"/>
        <item x="535"/>
        <item x="44"/>
        <item x="129"/>
        <item x="1168"/>
        <item x="707"/>
        <item x="828"/>
        <item x="645"/>
        <item x="167"/>
        <item x="345"/>
        <item x="672"/>
        <item x="100"/>
        <item x="540"/>
        <item x="1199"/>
        <item x="24"/>
        <item x="930"/>
        <item x="923"/>
        <item x="42"/>
        <item x="877"/>
        <item x="928"/>
        <item x="878"/>
        <item x="43"/>
        <item x="152"/>
        <item x="1142"/>
        <item x="581"/>
        <item x="947"/>
        <item x="810"/>
        <item x="566"/>
        <item x="67"/>
        <item x="1197"/>
        <item x="837"/>
        <item x="8"/>
        <item x="784"/>
        <item x="659"/>
        <item x="176"/>
        <item x="1172"/>
        <item x="1254"/>
        <item x="1176"/>
        <item x="668"/>
        <item x="1062"/>
        <item x="997"/>
        <item x="426"/>
        <item x="79"/>
        <item x="610"/>
        <item x="1220"/>
        <item x="325"/>
        <item x="864"/>
        <item x="209"/>
        <item x="1225"/>
        <item x="408"/>
        <item x="876"/>
        <item x="725"/>
        <item x="639"/>
        <item x="119"/>
        <item x="234"/>
        <item x="300"/>
        <item x="625"/>
        <item x="612"/>
        <item x="1261"/>
        <item x="188"/>
        <item x="728"/>
        <item x="505"/>
        <item x="71"/>
        <item x="501"/>
        <item x="872"/>
        <item x="1223"/>
        <item x="1308"/>
        <item x="1028"/>
        <item x="768"/>
        <item x="1309"/>
        <item x="155"/>
        <item x="1237"/>
        <item x="775"/>
        <item x="1064"/>
        <item x="799"/>
        <item x="1325"/>
        <item x="766"/>
        <item x="154"/>
        <item x="1289"/>
        <item x="990"/>
        <item x="204"/>
        <item x="1288"/>
        <item x="860"/>
        <item x="239"/>
        <item x="1163"/>
        <item x="945"/>
        <item x="834"/>
        <item x="1226"/>
        <item x="632"/>
        <item x="243"/>
        <item x="1318"/>
        <item x="793"/>
        <item x="674"/>
        <item x="1154"/>
        <item x="890"/>
        <item x="567"/>
        <item x="773"/>
        <item x="272"/>
        <item x="7"/>
        <item x="427"/>
        <item x="1045"/>
        <item x="1262"/>
        <item x="445"/>
        <item x="415"/>
        <item x="932"/>
        <item x="228"/>
        <item x="215"/>
        <item x="995"/>
        <item x="183"/>
        <item x="318"/>
        <item x="268"/>
        <item x="597"/>
        <item x="230"/>
        <item x="819"/>
        <item x="776"/>
        <item x="450"/>
        <item x="966"/>
        <item x="395"/>
        <item x="1218"/>
        <item x="1135"/>
        <item x="984"/>
        <item x="912"/>
        <item x="906"/>
        <item x="372"/>
        <item x="595"/>
        <item x="1179"/>
        <item x="459"/>
        <item x="74"/>
        <item x="1159"/>
        <item x="685"/>
        <item x="184"/>
        <item x="804"/>
        <item x="120"/>
        <item x="285"/>
        <item x="309"/>
        <item x="151"/>
        <item x="975"/>
        <item x="81"/>
        <item x="1140"/>
        <item x="755"/>
        <item x="994"/>
        <item x="367"/>
        <item x="1049"/>
        <item x="88"/>
        <item x="497"/>
        <item x="54"/>
        <item x="765"/>
        <item x="690"/>
        <item x="401"/>
        <item x="368"/>
        <item x="171"/>
        <item x="313"/>
        <item x="902"/>
        <item x="211"/>
        <item x="498"/>
        <item x="822"/>
        <item x="339"/>
        <item x="538"/>
        <item x="6"/>
        <item x="646"/>
        <item x="1009"/>
        <item x="1055"/>
        <item x="651"/>
        <item x="1279"/>
        <item x="384"/>
        <item x="711"/>
        <item x="347"/>
        <item x="556"/>
        <item x="528"/>
        <item x="1120"/>
        <item x="985"/>
        <item x="517"/>
        <item x="590"/>
        <item x="1221"/>
        <item x="310"/>
        <item x="869"/>
        <item x="1233"/>
        <item x="197"/>
        <item x="214"/>
        <item x="396"/>
        <item x="652"/>
        <item x="1284"/>
        <item x="179"/>
        <item x="407"/>
        <item x="609"/>
        <item x="1075"/>
        <item x="747"/>
        <item x="1023"/>
        <item x="1129"/>
        <item x="968"/>
        <item x="118"/>
        <item x="1184"/>
        <item x="739"/>
        <item x="1108"/>
        <item x="60"/>
        <item x="1268"/>
        <item x="1003"/>
        <item x="1192"/>
        <item x="899"/>
        <item x="665"/>
        <item x="1200"/>
        <item x="1012"/>
        <item x="863"/>
        <item x="1019"/>
        <item x="178"/>
        <item x="594"/>
        <item x="537"/>
        <item x="743"/>
        <item x="316"/>
        <item x="201"/>
        <item x="873"/>
        <item x="703"/>
        <item x="351"/>
        <item x="356"/>
        <item x="392"/>
        <item x="936"/>
        <item x="424"/>
        <item x="1065"/>
        <item x="1105"/>
        <item x="1139"/>
        <item x="563"/>
        <item x="763"/>
        <item x="1245"/>
        <item x="416"/>
        <item x="329"/>
        <item x="600"/>
        <item x="621"/>
        <item x="560"/>
        <item x="1115"/>
        <item x="229"/>
        <item x="299"/>
        <item x="400"/>
        <item x="269"/>
        <item x="604"/>
        <item x="1051"/>
        <item x="393"/>
        <item x="1292"/>
        <item x="481"/>
        <item x="512"/>
        <item x="1326"/>
        <item x="781"/>
        <item x="633"/>
        <item x="394"/>
        <item x="809"/>
        <item x="286"/>
        <item x="732"/>
        <item x="1182"/>
        <item x="938"/>
        <item x="962"/>
        <item x="701"/>
        <item x="700"/>
        <item x="940"/>
        <item x="484"/>
        <item x="715"/>
        <item x="734"/>
        <item x="273"/>
        <item x="357"/>
        <item x="284"/>
        <item x="1143"/>
        <item x="127"/>
        <item x="198"/>
        <item x="977"/>
        <item x="275"/>
        <item x="315"/>
        <item x="578"/>
        <item x="1087"/>
        <item x="365"/>
        <item x="425"/>
        <item x="649"/>
        <item x="1027"/>
        <item x="279"/>
        <item x="527"/>
        <item x="682"/>
        <item x="522"/>
        <item x="778"/>
        <item x="845"/>
        <item x="719"/>
        <item x="147"/>
        <item x="483"/>
        <item x="744"/>
        <item x="1008"/>
        <item x="1202"/>
        <item x="1132"/>
        <item x="360"/>
        <item x="730"/>
        <item x="843"/>
        <item x="629"/>
        <item x="931"/>
        <item x="723"/>
        <item x="710"/>
        <item x="124"/>
        <item x="991"/>
        <item x="644"/>
        <item x="678"/>
        <item x="1258"/>
        <item x="1125"/>
        <item x="97"/>
        <item x="544"/>
        <item x="706"/>
        <item x="403"/>
        <item x="1328"/>
        <item x="1104"/>
        <item x="216"/>
        <item x="1263"/>
        <item x="460"/>
        <item x="165"/>
        <item x="891"/>
        <item x="317"/>
        <item x="177"/>
        <item x="162"/>
        <item x="489"/>
        <item x="1106"/>
        <item x="774"/>
        <item x="221"/>
        <item x="1088"/>
        <item x="650"/>
        <item x="1227"/>
        <item x="1054"/>
        <item x="1332"/>
        <item x="458"/>
        <item x="848"/>
        <item x="18"/>
        <item x="969"/>
        <item x="1265"/>
        <item x="618"/>
        <item x="390"/>
        <item x="1147"/>
        <item x="1330"/>
        <item x="1085"/>
        <item x="16"/>
        <item x="1212"/>
        <item x="1114"/>
        <item x="110"/>
        <item x="717"/>
        <item x="561"/>
        <item x="1068"/>
        <item x="91"/>
        <item x="1274"/>
        <item x="148"/>
        <item x="858"/>
        <item x="697"/>
        <item x="344"/>
        <item x="1165"/>
        <item x="811"/>
        <item x="1153"/>
        <item x="83"/>
        <item x="601"/>
        <item x="87"/>
        <item x="89"/>
        <item x="1134"/>
        <item x="13"/>
        <item x="1171"/>
        <item x="770"/>
        <item x="132"/>
        <item x="463"/>
        <item x="553"/>
        <item x="684"/>
        <item x="1100"/>
        <item x="720"/>
        <item x="1314"/>
        <item x="1090"/>
        <item x="1144"/>
        <item x="1093"/>
        <item x="1256"/>
        <item x="626"/>
        <item x="1232"/>
        <item x="1086"/>
        <item x="75"/>
        <item x="515"/>
        <item x="1102"/>
        <item x="627"/>
        <item x="116"/>
        <item x="1043"/>
        <item x="405"/>
        <item x="1331"/>
        <item x="1255"/>
        <item x="447"/>
        <item x="509"/>
        <item x="525"/>
        <item x="114"/>
        <item x="1109"/>
        <item x="258"/>
        <item x="949"/>
        <item x="547"/>
        <item x="568"/>
        <item x="1060"/>
        <item x="323"/>
        <item x="866"/>
        <item x="836"/>
        <item x="615"/>
        <item x="333"/>
        <item x="944"/>
        <item x="852"/>
        <item x="180"/>
        <item x="745"/>
        <item x="72"/>
        <item x="206"/>
        <item x="832"/>
        <item x="510"/>
        <item x="350"/>
        <item x="752"/>
        <item x="260"/>
        <item x="457"/>
        <item x="589"/>
        <item x="764"/>
        <item x="797"/>
        <item x="386"/>
        <item x="283"/>
        <item x="111"/>
        <item x="456"/>
        <item x="1079"/>
        <item x="1293"/>
        <item x="1228"/>
        <item x="308"/>
        <item x="888"/>
        <item x="73"/>
        <item x="225"/>
        <item x="371"/>
        <item x="926"/>
        <item x="193"/>
        <item x="1034"/>
        <item x="1072"/>
        <item x="96"/>
        <item x="1014"/>
        <item x="623"/>
        <item x="336"/>
        <item x="714"/>
        <item x="575"/>
        <item x="1236"/>
        <item x="718"/>
        <item x="934"/>
        <item x="1150"/>
        <item x="653"/>
        <item x="302"/>
        <item x="27"/>
        <item x="861"/>
        <item x="840"/>
        <item x="233"/>
        <item x="1208"/>
        <item x="677"/>
        <item x="353"/>
        <item x="648"/>
        <item x="486"/>
        <item x="1231"/>
        <item x="675"/>
        <item x="1017"/>
        <item x="823"/>
        <item x="190"/>
        <item x="493"/>
        <item x="438"/>
        <item x="956"/>
        <item x="838"/>
        <item x="1329"/>
        <item x="48"/>
        <item x="433"/>
        <item x="467"/>
        <item x="903"/>
        <item x="304"/>
        <item x="246"/>
        <item x="446"/>
        <item x="785"/>
        <item x="771"/>
        <item x="130"/>
        <item x="250"/>
        <item x="1214"/>
        <item x="580"/>
        <item x="532"/>
        <item x="278"/>
        <item x="638"/>
        <item x="1033"/>
        <item x="552"/>
        <item x="721"/>
        <item x="1321"/>
        <item x="943"/>
        <item x="202"/>
        <item x="1191"/>
        <item x="917"/>
        <item x="255"/>
        <item x="894"/>
        <item x="716"/>
        <item x="1188"/>
        <item x="867"/>
        <item x="1324"/>
        <item x="641"/>
        <item x="1073"/>
        <item x="342"/>
        <item x="574"/>
        <item x="466"/>
        <item x="20"/>
        <item x="341"/>
        <item x="550"/>
        <item x="829"/>
        <item x="170"/>
        <item x="370"/>
        <item x="332"/>
        <item x="366"/>
        <item x="919"/>
        <item x="788"/>
        <item x="920"/>
        <item x="927"/>
        <item x="499"/>
        <item x="893"/>
        <item x="56"/>
        <item x="131"/>
        <item x="587"/>
        <item x="1190"/>
        <item x="1032"/>
        <item x="33"/>
        <item x="335"/>
        <item x="534"/>
        <item x="362"/>
        <item x="1186"/>
        <item x="208"/>
        <item x="542"/>
        <item x="996"/>
        <item x="435"/>
        <item x="337"/>
        <item x="1070"/>
        <item x="343"/>
        <item x="25"/>
        <item x="231"/>
        <item x="733"/>
        <item x="531"/>
        <item x="850"/>
        <item x="354"/>
        <item x="751"/>
        <item x="66"/>
        <item x="1124"/>
        <item x="287"/>
        <item x="1281"/>
        <item x="800"/>
        <item x="767"/>
        <item x="1067"/>
        <item x="1127"/>
        <item x="911"/>
        <item x="658"/>
        <item x="1050"/>
        <item x="634"/>
        <item x="418"/>
        <item x="1156"/>
        <item x="1235"/>
        <item x="26"/>
        <item x="412"/>
        <item x="961"/>
        <item x="1271"/>
        <item x="988"/>
        <item x="267"/>
        <item x="402"/>
        <item x="64"/>
        <item x="199"/>
        <item x="398"/>
        <item x="380"/>
        <item x="1083"/>
        <item x="1078"/>
        <item x="907"/>
        <item x="462"/>
        <item x="592"/>
        <item x="157"/>
        <item x="480"/>
        <item x="36"/>
        <item x="856"/>
        <item x="99"/>
        <item x="1252"/>
        <item x="824"/>
        <item x="602"/>
        <item x="1305"/>
        <item x="974"/>
        <item x="1251"/>
        <item x="296"/>
        <item x="993"/>
        <item x="1025"/>
        <item x="378"/>
        <item x="70"/>
        <item x="397"/>
        <item x="726"/>
        <item x="1099"/>
        <item x="982"/>
        <item x="0"/>
        <item x="1273"/>
        <item x="126"/>
        <item x="261"/>
        <item x="753"/>
        <item x="1169"/>
        <item x="266"/>
        <item x="238"/>
        <item x="999"/>
        <item x="603"/>
        <item x="908"/>
        <item x="105"/>
        <item x="582"/>
        <item x="69"/>
        <item x="772"/>
        <item x="554"/>
        <item x="798"/>
        <item x="1056"/>
        <item x="494"/>
        <item x="375"/>
        <item x="143"/>
        <item x="857"/>
        <item x="1203"/>
        <item x="740"/>
        <item x="779"/>
        <item x="794"/>
        <item x="1183"/>
        <item x="417"/>
        <item x="1249"/>
        <item x="1313"/>
        <item x="1010"/>
        <item x="429"/>
        <item x="643"/>
        <item x="1194"/>
        <item x="1122"/>
        <item x="340"/>
        <item x="1161"/>
        <item x="142"/>
        <item x="1084"/>
        <item x="761"/>
        <item x="117"/>
        <item x="334"/>
        <item x="981"/>
        <item x="533"/>
        <item x="1178"/>
        <item x="729"/>
        <item x="305"/>
        <item x="235"/>
        <item x="1317"/>
        <item x="224"/>
        <item x="465"/>
        <item x="749"/>
        <item x="411"/>
        <item x="1133"/>
        <item x="884"/>
        <item x="159"/>
        <item x="895"/>
        <item x="948"/>
        <item x="153"/>
        <item x="953"/>
        <item x="637"/>
        <item x="1230"/>
        <item x="306"/>
        <item x="1039"/>
        <item x="291"/>
        <item x="1207"/>
        <item x="1103"/>
        <item x="264"/>
        <item x="45"/>
        <item x="1131"/>
        <item x="144"/>
        <item x="826"/>
        <item x="382"/>
        <item x="473"/>
        <item x="207"/>
        <item x="514"/>
        <item x="85"/>
        <item x="792"/>
        <item x="156"/>
        <item x="1002"/>
        <item x="1303"/>
        <item x="102"/>
        <item x="160"/>
        <item x="1306"/>
        <item x="1026"/>
        <item x="376"/>
        <item x="1029"/>
        <item x="1187"/>
        <item x="915"/>
        <item x="455"/>
        <item x="1044"/>
        <item x="297"/>
        <item x="3"/>
        <item x="461"/>
        <item x="660"/>
        <item x="502"/>
        <item x="280"/>
        <item x="1327"/>
        <item x="98"/>
        <item x="1277"/>
        <item x="1170"/>
        <item x="1038"/>
        <item x="1097"/>
        <item x="756"/>
        <item x="430"/>
        <item x="1007"/>
        <item x="58"/>
        <item x="468"/>
        <item x="616"/>
        <item x="817"/>
        <item x="1210"/>
        <item x="52"/>
        <item x="545"/>
        <item x="1175"/>
        <item x="965"/>
        <item x="526"/>
        <item x="853"/>
        <item x="1111"/>
        <item x="227"/>
        <item x="331"/>
        <item x="245"/>
        <item x="491"/>
        <item x="782"/>
        <item x="1280"/>
        <item x="355"/>
        <item x="654"/>
        <item x="321"/>
        <item x="262"/>
        <item x="301"/>
        <item x="636"/>
        <item x="1006"/>
        <item x="219"/>
        <item x="1052"/>
        <item x="924"/>
        <item x="474"/>
        <item x="979"/>
        <item x="520"/>
        <item x="606"/>
        <item x="289"/>
        <item x="1018"/>
        <item x="444"/>
        <item x="1222"/>
        <item x="875"/>
        <item x="687"/>
        <item x="657"/>
        <item x="963"/>
        <item x="1264"/>
        <item x="379"/>
        <item x="663"/>
        <item x="1141"/>
        <item x="885"/>
        <item x="138"/>
        <item x="539"/>
        <item x="140"/>
        <item x="842"/>
        <item x="516"/>
        <item x="11"/>
        <item x="769"/>
        <item x="1320"/>
        <item x="443"/>
        <item x="986"/>
        <item x="958"/>
        <item x="805"/>
        <item x="475"/>
        <item x="9"/>
        <item x="419"/>
        <item x="1336"/>
        <item x="695"/>
        <item x="889"/>
        <item x="244"/>
        <item x="1257"/>
        <item x="62"/>
        <item x="92"/>
        <item x="115"/>
        <item x="387"/>
        <item x="103"/>
        <item x="573"/>
        <item x="935"/>
        <item x="503"/>
        <item x="128"/>
        <item x="640"/>
        <item x="1195"/>
        <item x="598"/>
        <item x="1041"/>
        <item x="910"/>
        <item x="259"/>
        <item x="1307"/>
        <item x="1092"/>
        <item x="1119"/>
        <item x="1266"/>
        <item x="57"/>
        <item x="617"/>
        <item x="1000"/>
        <item x="622"/>
        <item x="1077"/>
        <item x="223"/>
        <item x="688"/>
        <item x="1290"/>
        <item x="314"/>
        <item x="916"/>
        <item x="476"/>
        <item x="242"/>
        <item x="322"/>
        <item x="30"/>
        <item x="1020"/>
        <item x="841"/>
        <item x="373"/>
        <item x="1116"/>
        <item x="161"/>
        <item x="737"/>
        <item x="500"/>
        <item x="263"/>
        <item x="758"/>
        <item x="1312"/>
        <item x="1011"/>
        <item x="19"/>
        <item x="1138"/>
        <item x="1205"/>
        <item x="158"/>
        <item x="441"/>
        <item x="203"/>
        <item x="82"/>
        <item x="849"/>
        <item x="1185"/>
        <item x="1035"/>
        <item x="1248"/>
        <item x="23"/>
        <item x="53"/>
        <item x="1302"/>
        <item x="377"/>
        <item x="524"/>
        <item x="1117"/>
        <item x="1287"/>
        <item x="1206"/>
        <item x="240"/>
        <item x="49"/>
        <item x="29"/>
        <item x="298"/>
        <item x="802"/>
        <item x="952"/>
        <item x="946"/>
        <item x="422"/>
        <item x="608"/>
        <item x="123"/>
        <item x="827"/>
        <item x="14"/>
        <item x="1155"/>
        <item x="1036"/>
        <item x="1048"/>
        <item x="38"/>
        <item x="84"/>
        <item x="1069"/>
        <item x="558"/>
        <item x="666"/>
        <item x="681"/>
        <item x="620"/>
        <item x="696"/>
        <item x="735"/>
        <item x="146"/>
        <item x="1123"/>
        <item x="724"/>
        <item x="1151"/>
        <item x="855"/>
        <item x="957"/>
        <item x="254"/>
        <item x="1217"/>
        <item x="1089"/>
        <item x="338"/>
        <item x="1110"/>
        <item x="955"/>
        <item x="851"/>
        <item x="292"/>
        <item x="312"/>
        <item x="1021"/>
        <item x="381"/>
        <item x="664"/>
        <item x="327"/>
        <item x="271"/>
        <item x="614"/>
        <item x="628"/>
        <item x="741"/>
        <item x="86"/>
        <item x="185"/>
        <item x="825"/>
        <item x="1322"/>
        <item x="256"/>
        <item x="586"/>
        <item x="892"/>
        <item x="252"/>
        <item x="705"/>
        <item x="1030"/>
        <item x="1046"/>
        <item x="738"/>
        <item x="1095"/>
        <item x="844"/>
        <item x="569"/>
        <item x="667"/>
        <item x="549"/>
        <item x="859"/>
        <item x="676"/>
        <item x="265"/>
        <item x="673"/>
        <item x="882"/>
        <item x="421"/>
        <item x="1121"/>
        <item x="1300"/>
        <item x="420"/>
        <item x="109"/>
        <item x="1239"/>
        <item x="94"/>
        <item x="251"/>
        <item x="1283"/>
        <item x="950"/>
        <item x="55"/>
        <item x="288"/>
        <item x="328"/>
        <item x="39"/>
        <item x="330"/>
        <item x="281"/>
        <item x="900"/>
        <item x="530"/>
        <item x="175"/>
        <item x="488"/>
        <item x="1061"/>
        <item x="1240"/>
        <item x="34"/>
        <item x="1145"/>
        <item x="818"/>
        <item x="577"/>
        <item x="1229"/>
        <item x="1299"/>
        <item x="543"/>
        <item t="default"/>
      </items>
    </pivotField>
    <pivotField showAll="0"/>
    <pivotField showAll="0">
      <items count="5">
        <item x="3"/>
        <item x="0"/>
        <item x="2"/>
        <item x="1"/>
        <item t="default"/>
      </items>
    </pivotField>
    <pivotField showAll="0"/>
    <pivotField showAll="0">
      <items count="4">
        <item x="0"/>
        <item x="2"/>
        <item x="1"/>
        <item t="default"/>
      </items>
    </pivotField>
    <pivotField showAll="0"/>
    <pivotField axis="axisRow" showAll="0">
      <items count="4">
        <item x="1"/>
        <item x="2"/>
        <item x="0"/>
        <item t="default"/>
      </items>
    </pivotField>
  </pivotFields>
  <rowFields count="1">
    <field x="12"/>
  </rowFields>
  <rowItems count="4">
    <i>
      <x/>
    </i>
    <i>
      <x v="1"/>
    </i>
    <i>
      <x v="2"/>
    </i>
    <i t="grand">
      <x/>
    </i>
  </rowItems>
  <colItems count="1">
    <i/>
  </colItems>
  <dataFields count="1">
    <dataField name="Average of BMI" fld="2" subtotal="average" baseField="12" baseItem="1"/>
  </dataFields>
  <formats count="1">
    <format dxfId="15">
      <pivotArea outline="0" collapsedLevelsAreSubtotals="1" fieldPosition="0"/>
    </format>
  </formats>
  <chartFormats count="4">
    <chartFormat chart="5" format="6"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EC37FE-F663-4825-8DC6-D10176F47F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2:A113" firstHeaderRow="1" firstDataRow="1" firstDataCol="0"/>
  <pivotFields count="13">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 showAll="0"/>
    <pivotField showAll="0">
      <items count="5">
        <item x="3"/>
        <item x="0"/>
        <item x="2"/>
        <item x="1"/>
        <item t="default"/>
      </items>
    </pivotField>
    <pivotField showAll="0"/>
    <pivotField showAll="0">
      <items count="4">
        <item x="0"/>
        <item x="2"/>
        <item x="1"/>
        <item t="default"/>
      </items>
    </pivotField>
    <pivotField showAll="0"/>
    <pivotField showAll="0">
      <items count="4">
        <item x="1"/>
        <item x="2"/>
        <item x="0"/>
        <item t="default"/>
      </items>
    </pivotField>
  </pivotFields>
  <rowItems count="1">
    <i/>
  </rowItems>
  <colItems count="1">
    <i/>
  </colItems>
  <dataFields count="1">
    <dataField name="Average of Charges" fld="6" subtotal="average" baseField="0" baseItem="0" numFmtId="1"/>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AA425-B1FC-4EF7-9A20-61459A07F8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3">
    <pivotField showAll="0"/>
    <pivotField showAll="0">
      <items count="3">
        <item x="0"/>
        <item x="1"/>
        <item t="default"/>
      </items>
    </pivotField>
    <pivotField showAll="0"/>
    <pivotField showAll="0"/>
    <pivotField dataField="1" showAll="0">
      <items count="3">
        <item x="1"/>
        <item x="0"/>
        <item t="default"/>
      </items>
    </pivotField>
    <pivotField showAll="0">
      <items count="5">
        <item x="3"/>
        <item x="2"/>
        <item x="1"/>
        <item x="0"/>
        <item t="default"/>
      </items>
    </pivotField>
    <pivotField showAll="0"/>
    <pivotField showAll="0"/>
    <pivotField showAll="0">
      <items count="5">
        <item x="3"/>
        <item x="0"/>
        <item x="2"/>
        <item x="1"/>
        <item t="default"/>
      </items>
    </pivotField>
    <pivotField showAll="0"/>
    <pivotField showAll="0">
      <items count="4">
        <item x="0"/>
        <item x="2"/>
        <item x="1"/>
        <item t="default"/>
      </items>
    </pivotField>
    <pivotField showAll="0"/>
    <pivotField axis="axisRow" showAll="0">
      <items count="4">
        <item x="1"/>
        <item x="2"/>
        <item x="0"/>
        <item t="default"/>
      </items>
    </pivotField>
  </pivotFields>
  <rowFields count="1">
    <field x="12"/>
  </rowFields>
  <rowItems count="4">
    <i>
      <x/>
    </i>
    <i>
      <x v="1"/>
    </i>
    <i>
      <x v="2"/>
    </i>
    <i t="grand">
      <x/>
    </i>
  </rowItems>
  <colItems count="1">
    <i/>
  </colItems>
  <dataFields count="1">
    <dataField name="Count of Smoker" fld="4" subtotal="count" baseField="0" baseItem="0"/>
  </dataFields>
  <chartFormats count="8">
    <chartFormat chart="3" format="20"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2" count="1" selected="0">
            <x v="0"/>
          </reference>
        </references>
      </pivotArea>
    </chartFormat>
    <chartFormat chart="3" format="22">
      <pivotArea type="data" outline="0" fieldPosition="0">
        <references count="2">
          <reference field="4294967294" count="1" selected="0">
            <x v="0"/>
          </reference>
          <reference field="12" count="1" selected="0">
            <x v="1"/>
          </reference>
        </references>
      </pivotArea>
    </chartFormat>
    <chartFormat chart="3" format="23">
      <pivotArea type="data" outline="0" fieldPosition="0">
        <references count="2">
          <reference field="4294967294" count="1" selected="0">
            <x v="0"/>
          </reference>
          <reference field="12" count="1" selected="0">
            <x v="2"/>
          </reference>
        </references>
      </pivotArea>
    </chartFormat>
    <chartFormat chart="0" format="11">
      <pivotArea type="data" outline="0" fieldPosition="0">
        <references count="2">
          <reference field="4294967294" count="1" selected="0">
            <x v="0"/>
          </reference>
          <reference field="12" count="1" selected="0">
            <x v="0"/>
          </reference>
        </references>
      </pivotArea>
    </chartFormat>
    <chartFormat chart="0" format="12">
      <pivotArea type="data" outline="0" fieldPosition="0">
        <references count="2">
          <reference field="4294967294" count="1" selected="0">
            <x v="0"/>
          </reference>
          <reference field="12" count="1" selected="0">
            <x v="1"/>
          </reference>
        </references>
      </pivotArea>
    </chartFormat>
    <chartFormat chart="0" format="1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7227F6-9B67-4D13-87E3-A04224A33CF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8:A119" firstHeaderRow="1" firstDataRow="1" firstDataCol="0"/>
  <pivotFields count="13">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 dataField="1" showAll="0"/>
    <pivotField showAll="0">
      <items count="5">
        <item x="3"/>
        <item x="0"/>
        <item x="2"/>
        <item x="1"/>
        <item t="default"/>
      </items>
    </pivotField>
    <pivotField showAll="0"/>
    <pivotField showAll="0">
      <items count="4">
        <item x="0"/>
        <item x="2"/>
        <item x="1"/>
        <item t="default"/>
      </items>
    </pivotField>
    <pivotField showAll="0"/>
    <pivotField showAll="0">
      <items count="4">
        <item x="1"/>
        <item x="2"/>
        <item x="0"/>
        <item t="default"/>
      </items>
    </pivotField>
  </pivotFields>
  <rowItems count="1">
    <i/>
  </rowItems>
  <colItems count="1">
    <i/>
  </colItems>
  <dataFields count="1">
    <dataField name="Average of Blood_pressure" fld="7" subtotal="average" baseField="0" baseItem="0" numFmtId="1"/>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C533B9-50ED-43C2-8A17-0960E0C2A7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73:B80" firstHeaderRow="1" firstDataRow="1" firstDataCol="1"/>
  <pivotFields count="13">
    <pivotField showAll="0">
      <items count="48">
        <item x="1"/>
        <item x="0"/>
        <item x="35"/>
        <item x="28"/>
        <item x="21"/>
        <item x="15"/>
        <item x="24"/>
        <item x="9"/>
        <item x="22"/>
        <item x="13"/>
        <item x="2"/>
        <item x="39"/>
        <item x="16"/>
        <item x="5"/>
        <item x="4"/>
        <item x="3"/>
        <item x="17"/>
        <item x="23"/>
        <item x="27"/>
        <item x="7"/>
        <item x="26"/>
        <item x="11"/>
        <item x="30"/>
        <item x="25"/>
        <item x="45"/>
        <item x="33"/>
        <item x="37"/>
        <item x="40"/>
        <item x="6"/>
        <item x="43"/>
        <item x="29"/>
        <item x="42"/>
        <item x="46"/>
        <item x="44"/>
        <item x="14"/>
        <item x="32"/>
        <item x="41"/>
        <item x="20"/>
        <item x="12"/>
        <item x="38"/>
        <item x="31"/>
        <item x="18"/>
        <item x="8"/>
        <item x="36"/>
        <item x="10"/>
        <item x="19"/>
        <item x="34"/>
        <item t="default"/>
      </items>
    </pivotField>
    <pivotField showAll="0">
      <items count="3">
        <item x="0"/>
        <item x="1"/>
        <item t="default"/>
      </items>
    </pivotField>
    <pivotField showAll="0"/>
    <pivotField axis="axisRow"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dataField="1" showAll="0"/>
    <pivotField showAll="0"/>
    <pivotField showAll="0">
      <items count="5">
        <item x="3"/>
        <item x="0"/>
        <item x="2"/>
        <item x="1"/>
        <item t="default"/>
      </items>
    </pivotField>
    <pivotField showAll="0"/>
    <pivotField showAll="0">
      <items count="4">
        <item x="0"/>
        <item x="2"/>
        <item x="1"/>
        <item t="default"/>
      </items>
    </pivotField>
    <pivotField showAll="0"/>
    <pivotField showAll="0">
      <items count="4">
        <item x="1"/>
        <item x="2"/>
        <item x="0"/>
        <item t="default"/>
      </items>
    </pivotField>
  </pivotFields>
  <rowFields count="1">
    <field x="3"/>
  </rowFields>
  <rowItems count="7">
    <i>
      <x/>
    </i>
    <i>
      <x v="1"/>
    </i>
    <i>
      <x v="2"/>
    </i>
    <i>
      <x v="3"/>
    </i>
    <i>
      <x v="4"/>
    </i>
    <i>
      <x v="5"/>
    </i>
    <i t="grand">
      <x/>
    </i>
  </rowItems>
  <colItems count="1">
    <i/>
  </colItems>
  <dataFields count="1">
    <dataField name="Average of Charges" fld="6" subtotal="average" baseField="3" baseItem="0"/>
  </dataFields>
  <formats count="1">
    <format dxfId="18">
      <pivotArea outline="0" collapsedLevelsAreSubtotals="1" fieldPosition="0"/>
    </format>
  </formats>
  <chartFormats count="2">
    <chartFormat chart="7" format="9"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DAC440-35B9-469F-8950-BC06FCE2F0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9:A110" firstHeaderRow="1" firstDataRow="1" firstDataCol="0"/>
  <pivotFields count="13">
    <pivotField dataField="1"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 showAll="0"/>
    <pivotField showAll="0">
      <items count="5">
        <item x="3"/>
        <item x="0"/>
        <item x="2"/>
        <item x="1"/>
        <item t="default"/>
      </items>
    </pivotField>
    <pivotField showAll="0"/>
    <pivotField showAll="0">
      <items count="4">
        <item x="0"/>
        <item x="2"/>
        <item x="1"/>
        <item t="default"/>
      </items>
    </pivotField>
    <pivotField showAll="0"/>
    <pivotField showAll="0">
      <items count="4">
        <item x="1"/>
        <item x="2"/>
        <item x="0"/>
        <item t="default"/>
      </items>
    </pivotField>
  </pivotFields>
  <rowItems count="1">
    <i/>
  </rowItems>
  <colItems count="1">
    <i/>
  </colItems>
  <dataFields count="1">
    <dataField name="Count of Age" fld="0" subtotal="count" baseField="5" baseItem="0"/>
  </dataFields>
  <chartFormats count="2">
    <chartFormat chart="0" format="0"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562272-A288-4857-80AE-11BDB1F7D6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3:B98" firstHeaderRow="1" firstDataRow="1" firstDataCol="1"/>
  <pivotFields count="13">
    <pivotField dataField="1"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 showAll="0"/>
    <pivotField axis="axisRow" showAll="0">
      <items count="5">
        <item x="3"/>
        <item x="0"/>
        <item x="2"/>
        <item x="1"/>
        <item t="default"/>
      </items>
    </pivotField>
    <pivotField showAll="0"/>
    <pivotField showAll="0">
      <items count="4">
        <item x="0"/>
        <item x="2"/>
        <item x="1"/>
        <item t="default"/>
      </items>
    </pivotField>
    <pivotField showAll="0"/>
    <pivotField showAll="0">
      <items count="4">
        <item x="1"/>
        <item x="2"/>
        <item x="0"/>
        <item t="default"/>
      </items>
    </pivotField>
  </pivotFields>
  <rowFields count="1">
    <field x="8"/>
  </rowFields>
  <rowItems count="5">
    <i>
      <x/>
    </i>
    <i>
      <x v="1"/>
    </i>
    <i>
      <x v="2"/>
    </i>
    <i>
      <x v="3"/>
    </i>
    <i t="grand">
      <x/>
    </i>
  </rowItems>
  <colItems count="1">
    <i/>
  </colItems>
  <dataFields count="1">
    <dataField name="Count of Age" fld="0" subtotal="count" baseField="5" baseItem="0"/>
  </dataField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 chart="4" format="9">
      <pivotArea type="data" outline="0" fieldPosition="0">
        <references count="2">
          <reference field="4294967294" count="1" selected="0">
            <x v="0"/>
          </reference>
          <reference field="8"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 chart="5" format="13">
      <pivotArea type="data" outline="0" fieldPosition="0">
        <references count="2">
          <reference field="4294967294" count="1" selected="0">
            <x v="0"/>
          </reference>
          <reference field="8" count="1" selected="0">
            <x v="2"/>
          </reference>
        </references>
      </pivotArea>
    </chartFormat>
    <chartFormat chart="5"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F81720-6938-4199-B259-8D337E8719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4:B59" firstHeaderRow="1" firstDataRow="1" firstDataCol="1"/>
  <pivotFields count="13">
    <pivotField dataField="1" showAll="0"/>
    <pivotField showAll="0">
      <items count="3">
        <item x="0"/>
        <item x="1"/>
        <item t="default"/>
      </items>
    </pivotField>
    <pivotField showAll="0"/>
    <pivotField showAll="0"/>
    <pivotField showAll="0">
      <items count="3">
        <item x="1"/>
        <item x="0"/>
        <item t="default"/>
      </items>
    </pivotField>
    <pivotField axis="axisRow" showAll="0">
      <items count="5">
        <item x="3"/>
        <item x="2"/>
        <item x="1"/>
        <item x="0"/>
        <item t="default"/>
      </items>
    </pivotField>
    <pivotField showAll="0"/>
    <pivotField showAll="0"/>
    <pivotField showAll="0">
      <items count="5">
        <item x="3"/>
        <item x="0"/>
        <item x="2"/>
        <item x="1"/>
        <item t="default"/>
      </items>
    </pivotField>
    <pivotField showAll="0"/>
    <pivotField showAll="0">
      <items count="4">
        <item x="0"/>
        <item x="2"/>
        <item x="1"/>
        <item t="default"/>
      </items>
    </pivotField>
    <pivotField showAll="0"/>
    <pivotField showAll="0">
      <items count="4">
        <item x="1"/>
        <item x="2"/>
        <item x="0"/>
        <item t="default"/>
      </items>
    </pivotField>
  </pivotFields>
  <rowFields count="1">
    <field x="5"/>
  </rowFields>
  <rowItems count="5">
    <i>
      <x/>
    </i>
    <i>
      <x v="1"/>
    </i>
    <i>
      <x v="2"/>
    </i>
    <i>
      <x v="3"/>
    </i>
    <i t="grand">
      <x/>
    </i>
  </rowItems>
  <colItems count="1">
    <i/>
  </colItems>
  <dataFields count="1">
    <dataField name="Count of Age" fld="0" subtotal="count" baseField="5" baseItem="0"/>
  </dataFields>
  <formats count="1">
    <format dxfId="19">
      <pivotArea outline="0" collapsedLevelsAreSubtotals="1" fieldPosition="0"/>
    </format>
  </formats>
  <chartFormats count="2">
    <chartFormat chart="5" format="5"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F08DB5-3445-4D84-8F50-349C2B6E5D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8:B22" firstHeaderRow="1" firstDataRow="1" firstDataCol="1"/>
  <pivotFields count="13">
    <pivotField showAll="0">
      <items count="48">
        <item x="1"/>
        <item x="0"/>
        <item x="35"/>
        <item x="28"/>
        <item x="21"/>
        <item x="15"/>
        <item x="24"/>
        <item x="9"/>
        <item x="22"/>
        <item x="13"/>
        <item x="2"/>
        <item x="39"/>
        <item x="16"/>
        <item x="5"/>
        <item x="4"/>
        <item x="3"/>
        <item x="17"/>
        <item x="23"/>
        <item x="27"/>
        <item x="7"/>
        <item x="26"/>
        <item x="11"/>
        <item x="30"/>
        <item x="25"/>
        <item x="45"/>
        <item x="33"/>
        <item x="37"/>
        <item x="40"/>
        <item x="6"/>
        <item x="43"/>
        <item x="29"/>
        <item x="42"/>
        <item x="46"/>
        <item x="44"/>
        <item x="14"/>
        <item x="32"/>
        <item x="41"/>
        <item x="20"/>
        <item x="12"/>
        <item x="38"/>
        <item x="31"/>
        <item x="18"/>
        <item x="8"/>
        <item x="36"/>
        <item x="10"/>
        <item x="19"/>
        <item x="34"/>
        <item t="default"/>
      </items>
    </pivotField>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 showAll="0"/>
    <pivotField showAll="0">
      <items count="5">
        <item x="3"/>
        <item x="0"/>
        <item x="2"/>
        <item x="1"/>
        <item t="default"/>
      </items>
    </pivotField>
    <pivotField showAll="0"/>
    <pivotField showAll="0">
      <items count="4">
        <item x="0"/>
        <item x="2"/>
        <item x="1"/>
        <item t="default"/>
      </items>
    </pivotField>
    <pivotField showAll="0"/>
    <pivotField axis="axisRow" showAll="0">
      <items count="4">
        <item x="1"/>
        <item x="2"/>
        <item x="0"/>
        <item t="default"/>
      </items>
    </pivotField>
  </pivotFields>
  <rowFields count="1">
    <field x="12"/>
  </rowFields>
  <rowItems count="4">
    <i>
      <x/>
    </i>
    <i>
      <x v="1"/>
    </i>
    <i>
      <x v="2"/>
    </i>
    <i t="grand">
      <x/>
    </i>
  </rowItems>
  <colItems count="1">
    <i/>
  </colItems>
  <dataFields count="1">
    <dataField name="Average of Charges" fld="6" subtotal="average" baseField="0" baseItem="0" numFmtId="1"/>
  </dataFields>
  <formats count="1">
    <format dxfId="2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5E8F41AD-C131-41B2-A90B-D5280B04D421}" sourceName="Age Catego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212455716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60BFB1-45EA-4AE0-B812-63D9DCF4D24E}" sourceName="Region">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2124557166">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60B32E4F-E351-4EA4-BD66-C4948439DBB5}" sourceName="Sex">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212455716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_frequency" xr10:uid="{110E499B-8B6E-48D4-8F6E-4FA4CA46EA45}" sourceName="Exercise_frequenc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2124557166">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4DCE0B20-6A3D-4276-9BC7-B45693A7A599}" sourceName="Smoker">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2124557166">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_risk" xr10:uid="{8A452094-6637-418E-909B-D3E1167D884C}" sourceName="Occupation_risk">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s>
  <data>
    <tabular pivotCacheId="212455716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xr10:uid="{18FDCE4A-0427-4283-A08E-33C858734F37}" cache="Slicer_Age_Category" caption="Age Category" rowHeight="247650"/>
  <slicer name="Region" xr10:uid="{F23EC6FB-3EC7-4CE5-92BD-AB5CC43C7210}" cache="Slicer_Region" caption="Region" rowHeight="247650"/>
  <slicer name="Sex" xr10:uid="{EDC43150-7C13-450D-8906-0AA157F900B5}" cache="Slicer_Sex" caption="Sex" rowHeight="247650"/>
  <slicer name="Exercise_frequency" xr10:uid="{641E0F7B-7AA3-411E-AC18-5FA229B567D2}" cache="Slicer_Exercise_frequency" caption="Exercise_frequency" rowHeight="247650"/>
  <slicer name="Smoker" xr10:uid="{E7DF0798-18C4-4582-A566-14C6427ADF19}" cache="Slicer_Smoker" caption="Smoker" rowHeight="247650"/>
  <slicer name="Occupation_risk" xr10:uid="{91802897-83AD-4D2A-AD63-081D1902E0F3}" cache="Slicer_Occupation_risk" caption="Occupation_risk"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Category 1" xr10:uid="{FEF7BF49-F809-4018-B1B7-A5E06785FCC3}" cache="Slicer_Age_Category" caption="Age Category" style="Slicer Style 5" rowHeight="247650"/>
  <slicer name="Region 1" xr10:uid="{28F6B36D-3D53-4925-8F4D-043C0DE2E788}" cache="Slicer_Region" caption="Region" style="Slicer Style 5" rowHeight="247650"/>
  <slicer name="Sex 1" xr10:uid="{C68C2830-4617-4E97-B5B2-B28A2D373D0D}" cache="Slicer_Sex" caption="Sex" style="Slicer Style 5" rowHeight="247650"/>
  <slicer name="Exercise_frequency 1" xr10:uid="{8EC6FB6E-E6D5-49A4-B8C6-943E2CCAB5C6}" cache="Slicer_Exercise_frequency" caption="Exercise_frequency" style="Slicer Style 5" rowHeight="247650"/>
  <slicer name="Smoker 1" xr10:uid="{7B4F5F8F-4E21-41F1-96B7-7D52F77FAB8B}" cache="Slicer_Smoker" caption="Smoker" style="Slicer Style 5" rowHeight="247650"/>
  <slicer name="Occupation_risk 1" xr10:uid="{FBD55DDC-D756-4120-BF9C-B1CAE121EC4B}" cache="Slicer_Occupation_risk" caption="Occupation_risk" style="Slicer Style 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48C9-FC6D-477B-9CC2-25C6A5EBC335}">
  <dimension ref="A1:O1339"/>
  <sheetViews>
    <sheetView workbookViewId="0">
      <selection activeCell="N17" sqref="N17"/>
    </sheetView>
  </sheetViews>
  <sheetFormatPr defaultRowHeight="14.4" x14ac:dyDescent="0.3"/>
  <cols>
    <col min="1" max="1" width="6.88671875" customWidth="1"/>
    <col min="2" max="2" width="7.88671875" customWidth="1"/>
    <col min="3" max="3" width="7" bestFit="1" customWidth="1"/>
    <col min="4" max="4" width="11.77734375" customWidth="1"/>
    <col min="5" max="5" width="10.5546875" customWidth="1"/>
    <col min="6" max="6" width="9.21875" customWidth="1"/>
    <col min="7" max="7" width="12" bestFit="1" customWidth="1"/>
    <col min="8" max="8" width="15.6640625" customWidth="1"/>
    <col min="9" max="9" width="19.33203125" customWidth="1"/>
    <col min="10" max="10" width="21.21875" customWidth="1"/>
    <col min="11" max="11" width="16.109375" customWidth="1"/>
    <col min="12" max="12" width="17.109375" customWidth="1"/>
    <col min="13" max="13" width="14.44140625" customWidth="1"/>
  </cols>
  <sheetData>
    <row r="1" spans="1:15" x14ac:dyDescent="0.3">
      <c r="A1" t="s">
        <v>31</v>
      </c>
      <c r="B1" t="s">
        <v>10</v>
      </c>
      <c r="C1" t="s">
        <v>32</v>
      </c>
      <c r="D1" t="s">
        <v>30</v>
      </c>
      <c r="E1" t="s">
        <v>17</v>
      </c>
      <c r="F1" t="s">
        <v>5</v>
      </c>
      <c r="G1" t="s">
        <v>29</v>
      </c>
      <c r="H1" t="s">
        <v>28</v>
      </c>
      <c r="I1" t="s">
        <v>27</v>
      </c>
      <c r="J1" t="s">
        <v>26</v>
      </c>
      <c r="K1" t="s">
        <v>13</v>
      </c>
      <c r="L1" t="s">
        <v>25</v>
      </c>
      <c r="M1" t="s">
        <v>4</v>
      </c>
    </row>
    <row r="2" spans="1:15" x14ac:dyDescent="0.3">
      <c r="A2">
        <v>19</v>
      </c>
      <c r="B2" t="s">
        <v>11</v>
      </c>
      <c r="C2">
        <v>27.9</v>
      </c>
      <c r="D2">
        <v>0</v>
      </c>
      <c r="E2" t="s">
        <v>18</v>
      </c>
      <c r="F2" t="s">
        <v>6</v>
      </c>
      <c r="G2">
        <v>16884.923999999999</v>
      </c>
      <c r="H2">
        <v>139</v>
      </c>
      <c r="I2" t="s">
        <v>0</v>
      </c>
      <c r="J2" t="b">
        <v>1</v>
      </c>
      <c r="K2" t="s">
        <v>14</v>
      </c>
      <c r="L2">
        <v>104158.67</v>
      </c>
      <c r="M2" t="str" cm="1">
        <f t="array" ref="M2">_xlfn.IFS(A2&lt;30,"Young",A2&lt;=50,"Adult",A2&gt;50,"Senior")</f>
        <v>Young</v>
      </c>
      <c r="N2">
        <f>SKEW(A2:A1339)</f>
        <v>5.434879746180573E-2</v>
      </c>
      <c r="O2" s="1" t="s">
        <v>20</v>
      </c>
    </row>
    <row r="3" spans="1:15" x14ac:dyDescent="0.3">
      <c r="A3">
        <v>18</v>
      </c>
      <c r="B3" t="s">
        <v>12</v>
      </c>
      <c r="C3">
        <v>33.770000000000003</v>
      </c>
      <c r="D3">
        <v>1</v>
      </c>
      <c r="E3" t="s">
        <v>19</v>
      </c>
      <c r="F3" t="s">
        <v>7</v>
      </c>
      <c r="G3">
        <v>1725.5523000000001</v>
      </c>
      <c r="H3">
        <v>129.9</v>
      </c>
      <c r="I3" t="s">
        <v>1</v>
      </c>
      <c r="J3" t="b">
        <v>1</v>
      </c>
      <c r="K3" t="s">
        <v>15</v>
      </c>
      <c r="L3">
        <v>43530.879999999997</v>
      </c>
      <c r="M3" t="str" cm="1">
        <f t="array" ref="M3">_xlfn.IFS(A3&lt;30,"Young",A3&lt;=50,"Adult",A3&gt;50,"Senior")</f>
        <v>Young</v>
      </c>
      <c r="N3">
        <f>MEDIAN(A2:A1339)</f>
        <v>39</v>
      </c>
      <c r="O3" s="1" t="s">
        <v>21</v>
      </c>
    </row>
    <row r="4" spans="1:15" x14ac:dyDescent="0.3">
      <c r="A4">
        <v>28</v>
      </c>
      <c r="B4" t="s">
        <v>12</v>
      </c>
      <c r="C4">
        <v>33</v>
      </c>
      <c r="D4">
        <v>3</v>
      </c>
      <c r="E4" t="s">
        <v>19</v>
      </c>
      <c r="F4" t="s">
        <v>7</v>
      </c>
      <c r="G4">
        <v>4449.4620000000004</v>
      </c>
      <c r="H4">
        <v>111.1</v>
      </c>
      <c r="I4" t="s">
        <v>2</v>
      </c>
      <c r="J4" t="b">
        <v>0</v>
      </c>
      <c r="K4" t="s">
        <v>14</v>
      </c>
      <c r="L4">
        <v>113004.75</v>
      </c>
      <c r="M4" t="str" cm="1">
        <f t="array" ref="M4">_xlfn.IFS(A4&lt;30,"Young",A4&lt;=50,"Adult",A4&gt;50,"Senior")</f>
        <v>Young</v>
      </c>
    </row>
    <row r="5" spans="1:15" x14ac:dyDescent="0.3">
      <c r="A5">
        <v>33</v>
      </c>
      <c r="B5" t="s">
        <v>12</v>
      </c>
      <c r="C5">
        <v>22.704999999999998</v>
      </c>
      <c r="D5">
        <v>0</v>
      </c>
      <c r="E5" t="s">
        <v>19</v>
      </c>
      <c r="F5" t="s">
        <v>8</v>
      </c>
      <c r="G5">
        <v>21984.47061</v>
      </c>
      <c r="H5">
        <v>126.9</v>
      </c>
      <c r="I5" t="s">
        <v>2</v>
      </c>
      <c r="J5" t="b">
        <v>0</v>
      </c>
      <c r="K5" t="s">
        <v>14</v>
      </c>
      <c r="L5">
        <v>185041.26</v>
      </c>
      <c r="M5" t="str" cm="1">
        <f t="array" ref="M5">_xlfn.IFS(A5&lt;30,"Young",A5&lt;=50,"Adult",A5&gt;50,"Senior")</f>
        <v>Adult</v>
      </c>
      <c r="N5">
        <f>SKEW(C2:C1339)</f>
        <v>0.28359183642052066</v>
      </c>
      <c r="O5" s="1" t="s">
        <v>22</v>
      </c>
    </row>
    <row r="6" spans="1:15" x14ac:dyDescent="0.3">
      <c r="A6">
        <v>32</v>
      </c>
      <c r="B6" t="s">
        <v>12</v>
      </c>
      <c r="C6">
        <v>28.88</v>
      </c>
      <c r="D6">
        <v>0</v>
      </c>
      <c r="E6" t="s">
        <v>19</v>
      </c>
      <c r="F6" t="s">
        <v>8</v>
      </c>
      <c r="G6">
        <v>3866.8552</v>
      </c>
      <c r="H6">
        <v>134.69999999999999</v>
      </c>
      <c r="I6" t="s">
        <v>2</v>
      </c>
      <c r="J6" t="b">
        <v>1</v>
      </c>
      <c r="K6" t="s">
        <v>16</v>
      </c>
      <c r="L6">
        <v>46747.97</v>
      </c>
      <c r="M6" t="str" cm="1">
        <f t="array" ref="M6">_xlfn.IFS(A6&lt;30,"Young",A6&lt;=50,"Adult",A6&gt;50,"Senior")</f>
        <v>Adult</v>
      </c>
      <c r="N6">
        <f>MEDIAN(C2:C1339)</f>
        <v>30.4</v>
      </c>
      <c r="O6" s="1" t="s">
        <v>23</v>
      </c>
    </row>
    <row r="7" spans="1:15" x14ac:dyDescent="0.3">
      <c r="A7">
        <v>31</v>
      </c>
      <c r="B7" t="s">
        <v>11</v>
      </c>
      <c r="C7">
        <v>25.74</v>
      </c>
      <c r="D7">
        <v>0</v>
      </c>
      <c r="E7" t="s">
        <v>19</v>
      </c>
      <c r="F7" t="s">
        <v>7</v>
      </c>
      <c r="G7">
        <v>3756.6215999999999</v>
      </c>
      <c r="H7">
        <v>139.19999999999999</v>
      </c>
      <c r="I7" t="s">
        <v>1</v>
      </c>
      <c r="J7" t="b">
        <v>1</v>
      </c>
      <c r="K7" t="s">
        <v>14</v>
      </c>
      <c r="L7">
        <v>122750.81</v>
      </c>
      <c r="M7" t="str" cm="1">
        <f t="array" ref="M7">_xlfn.IFS(A7&lt;30,"Young",A7&lt;=50,"Adult",A7&gt;50,"Senior")</f>
        <v>Adult</v>
      </c>
    </row>
    <row r="8" spans="1:15" x14ac:dyDescent="0.3">
      <c r="A8">
        <v>46</v>
      </c>
      <c r="B8" t="s">
        <v>11</v>
      </c>
      <c r="C8">
        <v>33.44</v>
      </c>
      <c r="D8">
        <v>1</v>
      </c>
      <c r="E8" t="s">
        <v>19</v>
      </c>
      <c r="F8" t="s">
        <v>7</v>
      </c>
      <c r="G8">
        <v>8240.5895999999993</v>
      </c>
      <c r="H8">
        <v>123.9</v>
      </c>
      <c r="I8" t="s">
        <v>3</v>
      </c>
      <c r="J8" t="b">
        <v>0</v>
      </c>
      <c r="K8" t="s">
        <v>15</v>
      </c>
      <c r="L8">
        <v>132332.12</v>
      </c>
      <c r="M8" t="str" cm="1">
        <f t="array" ref="M8">_xlfn.IFS(A8&lt;30,"Young",A8&lt;=50,"Adult",A8&gt;50,"Senior")</f>
        <v>Adult</v>
      </c>
      <c r="N8">
        <f>SKEW(D2:D1339)</f>
        <v>0.93794173564870975</v>
      </c>
      <c r="O8" s="1" t="s">
        <v>24</v>
      </c>
    </row>
    <row r="9" spans="1:15" x14ac:dyDescent="0.3">
      <c r="A9">
        <v>37</v>
      </c>
      <c r="B9" t="s">
        <v>11</v>
      </c>
      <c r="C9">
        <v>27.74</v>
      </c>
      <c r="D9">
        <v>3</v>
      </c>
      <c r="E9" t="s">
        <v>19</v>
      </c>
      <c r="F9" t="s">
        <v>8</v>
      </c>
      <c r="G9">
        <v>7281.5056000000004</v>
      </c>
      <c r="H9">
        <v>133.9</v>
      </c>
      <c r="I9" t="s">
        <v>1</v>
      </c>
      <c r="J9" t="b">
        <v>1</v>
      </c>
      <c r="K9" t="s">
        <v>15</v>
      </c>
      <c r="L9">
        <v>94279.88</v>
      </c>
      <c r="M9" t="str" cm="1">
        <f t="array" ref="M9">_xlfn.IFS(A9&lt;30,"Young",A9&lt;=50,"Adult",A9&gt;50,"Senior")</f>
        <v>Adult</v>
      </c>
      <c r="N9">
        <f>MEDIAN(D2:D1339)</f>
        <v>1</v>
      </c>
      <c r="O9" s="1" t="s">
        <v>23</v>
      </c>
    </row>
    <row r="10" spans="1:15" x14ac:dyDescent="0.3">
      <c r="A10">
        <v>37</v>
      </c>
      <c r="B10" t="s">
        <v>12</v>
      </c>
      <c r="C10">
        <v>29.83</v>
      </c>
      <c r="D10">
        <v>2</v>
      </c>
      <c r="E10" t="s">
        <v>19</v>
      </c>
      <c r="F10" t="s">
        <v>9</v>
      </c>
      <c r="G10">
        <v>6406.4107000000004</v>
      </c>
      <c r="H10">
        <v>121.5</v>
      </c>
      <c r="I10" t="s">
        <v>1</v>
      </c>
      <c r="J10" t="b">
        <v>1</v>
      </c>
      <c r="K10" t="s">
        <v>14</v>
      </c>
      <c r="L10">
        <v>194834.23</v>
      </c>
      <c r="M10" t="str" cm="1">
        <f t="array" ref="M10">_xlfn.IFS(A10&lt;30,"Young",A10&lt;=50,"Adult",A10&gt;50,"Senior")</f>
        <v>Adult</v>
      </c>
    </row>
    <row r="11" spans="1:15" x14ac:dyDescent="0.3">
      <c r="A11">
        <v>60</v>
      </c>
      <c r="B11" t="s">
        <v>11</v>
      </c>
      <c r="C11">
        <v>25.84</v>
      </c>
      <c r="D11">
        <v>1</v>
      </c>
      <c r="E11" t="s">
        <v>19</v>
      </c>
      <c r="F11" t="s">
        <v>8</v>
      </c>
      <c r="G11">
        <v>28923.136920000001</v>
      </c>
      <c r="H11">
        <v>123.1</v>
      </c>
      <c r="I11" t="s">
        <v>0</v>
      </c>
      <c r="J11" t="b">
        <v>1</v>
      </c>
      <c r="K11" t="s">
        <v>15</v>
      </c>
      <c r="L11">
        <v>99145.8</v>
      </c>
      <c r="M11" t="str" cm="1">
        <f t="array" ref="M11">_xlfn.IFS(A11&lt;30,"Young",A11&lt;=50,"Adult",A11&gt;50,"Senior")</f>
        <v>Senior</v>
      </c>
    </row>
    <row r="12" spans="1:15" x14ac:dyDescent="0.3">
      <c r="A12">
        <v>25</v>
      </c>
      <c r="B12" t="s">
        <v>12</v>
      </c>
      <c r="C12">
        <v>26.22</v>
      </c>
      <c r="D12">
        <v>0</v>
      </c>
      <c r="E12" t="s">
        <v>19</v>
      </c>
      <c r="F12" t="s">
        <v>9</v>
      </c>
      <c r="G12">
        <v>2721.3208</v>
      </c>
      <c r="H12">
        <v>112.3</v>
      </c>
      <c r="I12" t="s">
        <v>2</v>
      </c>
      <c r="J12" t="b">
        <v>0</v>
      </c>
      <c r="K12" t="s">
        <v>15</v>
      </c>
      <c r="L12">
        <v>129340.92</v>
      </c>
      <c r="M12" t="str" cm="1">
        <f t="array" ref="M12">_xlfn.IFS(A12&lt;30,"Young",A12&lt;=50,"Adult",A12&gt;50,"Senior")</f>
        <v>Young</v>
      </c>
    </row>
    <row r="13" spans="1:15" x14ac:dyDescent="0.3">
      <c r="A13">
        <v>62</v>
      </c>
      <c r="B13" t="s">
        <v>11</v>
      </c>
      <c r="C13">
        <v>26.29</v>
      </c>
      <c r="D13">
        <v>0</v>
      </c>
      <c r="E13" t="s">
        <v>18</v>
      </c>
      <c r="F13" t="s">
        <v>7</v>
      </c>
      <c r="G13">
        <v>27808.7251</v>
      </c>
      <c r="H13">
        <v>124.6</v>
      </c>
      <c r="I13" t="s">
        <v>3</v>
      </c>
      <c r="J13" t="b">
        <v>0</v>
      </c>
      <c r="K13" t="s">
        <v>16</v>
      </c>
      <c r="L13">
        <v>118270.38</v>
      </c>
      <c r="M13" t="str" cm="1">
        <f t="array" ref="M13">_xlfn.IFS(A13&lt;30,"Young",A13&lt;=50,"Adult",A13&gt;50,"Senior")</f>
        <v>Senior</v>
      </c>
    </row>
    <row r="14" spans="1:15" x14ac:dyDescent="0.3">
      <c r="A14">
        <v>39</v>
      </c>
      <c r="B14" t="s">
        <v>12</v>
      </c>
      <c r="C14">
        <v>34.4</v>
      </c>
      <c r="D14">
        <v>0</v>
      </c>
      <c r="E14" t="s">
        <v>19</v>
      </c>
      <c r="F14" t="s">
        <v>6</v>
      </c>
      <c r="G14">
        <v>1826.8430000000001</v>
      </c>
      <c r="H14">
        <v>126.6</v>
      </c>
      <c r="I14" t="s">
        <v>2</v>
      </c>
      <c r="J14" t="b">
        <v>0</v>
      </c>
      <c r="K14" t="s">
        <v>16</v>
      </c>
      <c r="L14">
        <v>71968.66</v>
      </c>
      <c r="M14" t="str" cm="1">
        <f t="array" ref="M14">_xlfn.IFS(A14&lt;30,"Young",A14&lt;=50,"Adult",A14&gt;50,"Senior")</f>
        <v>Adult</v>
      </c>
    </row>
    <row r="15" spans="1:15" x14ac:dyDescent="0.3">
      <c r="A15">
        <v>56</v>
      </c>
      <c r="B15" t="s">
        <v>11</v>
      </c>
      <c r="C15">
        <v>39.82</v>
      </c>
      <c r="D15">
        <v>0</v>
      </c>
      <c r="E15" t="s">
        <v>19</v>
      </c>
      <c r="F15" t="s">
        <v>7</v>
      </c>
      <c r="G15">
        <v>11090.7178</v>
      </c>
      <c r="H15">
        <v>138.30000000000001</v>
      </c>
      <c r="I15" t="s">
        <v>0</v>
      </c>
      <c r="J15" t="b">
        <v>0</v>
      </c>
      <c r="K15" t="s">
        <v>14</v>
      </c>
      <c r="L15">
        <v>185785.44</v>
      </c>
      <c r="M15" t="str" cm="1">
        <f t="array" ref="M15">_xlfn.IFS(A15&lt;30,"Young",A15&lt;=50,"Adult",A15&gt;50,"Senior")</f>
        <v>Senior</v>
      </c>
    </row>
    <row r="16" spans="1:15" x14ac:dyDescent="0.3">
      <c r="A16">
        <v>27</v>
      </c>
      <c r="B16" t="s">
        <v>12</v>
      </c>
      <c r="C16">
        <v>42.13</v>
      </c>
      <c r="D16">
        <v>0</v>
      </c>
      <c r="E16" t="s">
        <v>18</v>
      </c>
      <c r="F16" t="s">
        <v>7</v>
      </c>
      <c r="G16">
        <v>39611.757700000002</v>
      </c>
      <c r="H16">
        <v>125.1</v>
      </c>
      <c r="I16" t="s">
        <v>2</v>
      </c>
      <c r="J16" t="b">
        <v>0</v>
      </c>
      <c r="K16" t="s">
        <v>15</v>
      </c>
      <c r="L16">
        <v>156942.09</v>
      </c>
      <c r="M16" t="str" cm="1">
        <f t="array" ref="M16">_xlfn.IFS(A16&lt;30,"Young",A16&lt;=50,"Adult",A16&gt;50,"Senior")</f>
        <v>Young</v>
      </c>
    </row>
    <row r="17" spans="1:13" x14ac:dyDescent="0.3">
      <c r="A17">
        <v>19</v>
      </c>
      <c r="B17" t="s">
        <v>12</v>
      </c>
      <c r="C17">
        <v>24.6</v>
      </c>
      <c r="D17">
        <v>1</v>
      </c>
      <c r="E17" t="s">
        <v>19</v>
      </c>
      <c r="F17" t="s">
        <v>6</v>
      </c>
      <c r="G17">
        <v>1837.2370000000001</v>
      </c>
      <c r="H17">
        <v>125.7</v>
      </c>
      <c r="I17" t="s">
        <v>1</v>
      </c>
      <c r="J17" t="b">
        <v>1</v>
      </c>
      <c r="K17" t="s">
        <v>15</v>
      </c>
      <c r="L17">
        <v>196437.27</v>
      </c>
      <c r="M17" t="str" cm="1">
        <f t="array" ref="M17">_xlfn.IFS(A17&lt;30,"Young",A17&lt;=50,"Adult",A17&gt;50,"Senior")</f>
        <v>Young</v>
      </c>
    </row>
    <row r="18" spans="1:13" x14ac:dyDescent="0.3">
      <c r="A18">
        <v>52</v>
      </c>
      <c r="B18" t="s">
        <v>11</v>
      </c>
      <c r="C18">
        <v>30.78</v>
      </c>
      <c r="D18">
        <v>1</v>
      </c>
      <c r="E18" t="s">
        <v>19</v>
      </c>
      <c r="F18" t="s">
        <v>9</v>
      </c>
      <c r="G18">
        <v>10797.3362</v>
      </c>
      <c r="H18">
        <v>131.80000000000001</v>
      </c>
      <c r="I18" t="s">
        <v>0</v>
      </c>
      <c r="J18" t="b">
        <v>0</v>
      </c>
      <c r="K18" t="s">
        <v>16</v>
      </c>
      <c r="L18">
        <v>126342.85</v>
      </c>
      <c r="M18" t="str" cm="1">
        <f t="array" ref="M18">_xlfn.IFS(A18&lt;30,"Young",A18&lt;=50,"Adult",A18&gt;50,"Senior")</f>
        <v>Senior</v>
      </c>
    </row>
    <row r="19" spans="1:13" x14ac:dyDescent="0.3">
      <c r="A19">
        <v>23</v>
      </c>
      <c r="B19" t="s">
        <v>12</v>
      </c>
      <c r="C19">
        <v>23.844999999999999</v>
      </c>
      <c r="D19">
        <v>0</v>
      </c>
      <c r="E19" t="s">
        <v>19</v>
      </c>
      <c r="F19" t="s">
        <v>9</v>
      </c>
      <c r="G19">
        <v>2395.17155</v>
      </c>
      <c r="H19">
        <v>120.9</v>
      </c>
      <c r="I19" t="s">
        <v>3</v>
      </c>
      <c r="J19" t="b">
        <v>0</v>
      </c>
      <c r="K19" t="s">
        <v>14</v>
      </c>
      <c r="L19">
        <v>96360.44</v>
      </c>
      <c r="M19" t="str" cm="1">
        <f t="array" ref="M19">_xlfn.IFS(A19&lt;30,"Young",A19&lt;=50,"Adult",A19&gt;50,"Senior")</f>
        <v>Young</v>
      </c>
    </row>
    <row r="20" spans="1:13" x14ac:dyDescent="0.3">
      <c r="A20">
        <v>56</v>
      </c>
      <c r="B20" t="s">
        <v>12</v>
      </c>
      <c r="C20">
        <v>40.299999999999997</v>
      </c>
      <c r="D20">
        <v>0</v>
      </c>
      <c r="E20" t="s">
        <v>19</v>
      </c>
      <c r="F20" t="s">
        <v>6</v>
      </c>
      <c r="G20">
        <v>10602.385</v>
      </c>
      <c r="H20">
        <v>131.4</v>
      </c>
      <c r="I20" t="s">
        <v>0</v>
      </c>
      <c r="J20" t="b">
        <v>0</v>
      </c>
      <c r="K20" t="s">
        <v>14</v>
      </c>
      <c r="L20">
        <v>82859.960000000006</v>
      </c>
      <c r="M20" t="str" cm="1">
        <f t="array" ref="M20">_xlfn.IFS(A20&lt;30,"Young",A20&lt;=50,"Adult",A20&gt;50,"Senior")</f>
        <v>Senior</v>
      </c>
    </row>
    <row r="21" spans="1:13" x14ac:dyDescent="0.3">
      <c r="A21">
        <v>30</v>
      </c>
      <c r="B21" t="s">
        <v>12</v>
      </c>
      <c r="C21">
        <v>35.299999999999997</v>
      </c>
      <c r="D21">
        <v>0</v>
      </c>
      <c r="E21" t="s">
        <v>18</v>
      </c>
      <c r="F21" t="s">
        <v>6</v>
      </c>
      <c r="G21">
        <v>36837.466999999997</v>
      </c>
      <c r="H21">
        <v>132.19999999999999</v>
      </c>
      <c r="I21" t="s">
        <v>1</v>
      </c>
      <c r="J21" t="b">
        <v>0</v>
      </c>
      <c r="K21" t="s">
        <v>16</v>
      </c>
      <c r="L21">
        <v>144410.48000000001</v>
      </c>
      <c r="M21" t="str" cm="1">
        <f t="array" ref="M21">_xlfn.IFS(A21&lt;30,"Young",A21&lt;=50,"Adult",A21&gt;50,"Senior")</f>
        <v>Adult</v>
      </c>
    </row>
    <row r="22" spans="1:13" x14ac:dyDescent="0.3">
      <c r="A22">
        <v>60</v>
      </c>
      <c r="B22" t="s">
        <v>11</v>
      </c>
      <c r="C22">
        <v>36.005000000000003</v>
      </c>
      <c r="D22">
        <v>0</v>
      </c>
      <c r="E22" t="s">
        <v>19</v>
      </c>
      <c r="F22" t="s">
        <v>9</v>
      </c>
      <c r="G22">
        <v>13228.846949999999</v>
      </c>
      <c r="H22">
        <v>126</v>
      </c>
      <c r="I22" t="s">
        <v>3</v>
      </c>
      <c r="J22" t="b">
        <v>1</v>
      </c>
      <c r="K22" t="s">
        <v>16</v>
      </c>
      <c r="L22">
        <v>168116.14</v>
      </c>
      <c r="M22" t="str" cm="1">
        <f t="array" ref="M22">_xlfn.IFS(A22&lt;30,"Young",A22&lt;=50,"Adult",A22&gt;50,"Senior")</f>
        <v>Senior</v>
      </c>
    </row>
    <row r="23" spans="1:13" x14ac:dyDescent="0.3">
      <c r="A23">
        <v>30</v>
      </c>
      <c r="B23" t="s">
        <v>11</v>
      </c>
      <c r="C23">
        <v>32.4</v>
      </c>
      <c r="D23">
        <v>1</v>
      </c>
      <c r="E23" t="s">
        <v>19</v>
      </c>
      <c r="F23" t="s">
        <v>6</v>
      </c>
      <c r="G23">
        <v>4149.7359999999999</v>
      </c>
      <c r="H23">
        <v>111.9</v>
      </c>
      <c r="I23" t="s">
        <v>3</v>
      </c>
      <c r="J23" t="b">
        <v>0</v>
      </c>
      <c r="K23" t="s">
        <v>16</v>
      </c>
      <c r="L23">
        <v>160453.76000000001</v>
      </c>
      <c r="M23" t="str" cm="1">
        <f t="array" ref="M23">_xlfn.IFS(A23&lt;30,"Young",A23&lt;=50,"Adult",A23&gt;50,"Senior")</f>
        <v>Adult</v>
      </c>
    </row>
    <row r="24" spans="1:13" x14ac:dyDescent="0.3">
      <c r="A24">
        <v>18</v>
      </c>
      <c r="B24" t="s">
        <v>12</v>
      </c>
      <c r="C24">
        <v>34.1</v>
      </c>
      <c r="D24">
        <v>0</v>
      </c>
      <c r="E24" t="s">
        <v>19</v>
      </c>
      <c r="F24" t="s">
        <v>7</v>
      </c>
      <c r="G24">
        <v>1137.011</v>
      </c>
      <c r="H24">
        <v>117.6</v>
      </c>
      <c r="I24" t="s">
        <v>0</v>
      </c>
      <c r="J24" t="b">
        <v>1</v>
      </c>
      <c r="K24" t="s">
        <v>15</v>
      </c>
      <c r="L24">
        <v>155712.9</v>
      </c>
      <c r="M24" t="str" cm="1">
        <f t="array" ref="M24">_xlfn.IFS(A24&lt;30,"Young",A24&lt;=50,"Adult",A24&gt;50,"Senior")</f>
        <v>Young</v>
      </c>
    </row>
    <row r="25" spans="1:13" x14ac:dyDescent="0.3">
      <c r="A25">
        <v>34</v>
      </c>
      <c r="B25" t="s">
        <v>11</v>
      </c>
      <c r="C25">
        <v>31.92</v>
      </c>
      <c r="D25">
        <v>1</v>
      </c>
      <c r="E25" t="s">
        <v>18</v>
      </c>
      <c r="F25" t="s">
        <v>9</v>
      </c>
      <c r="G25">
        <v>37701.876799999998</v>
      </c>
      <c r="H25">
        <v>110.1</v>
      </c>
      <c r="I25" t="s">
        <v>2</v>
      </c>
      <c r="J25" t="b">
        <v>0</v>
      </c>
      <c r="K25" t="s">
        <v>14</v>
      </c>
      <c r="L25">
        <v>188604.28</v>
      </c>
      <c r="M25" t="str" cm="1">
        <f t="array" ref="M25">_xlfn.IFS(A25&lt;30,"Young",A25&lt;=50,"Adult",A25&gt;50,"Senior")</f>
        <v>Adult</v>
      </c>
    </row>
    <row r="26" spans="1:13" x14ac:dyDescent="0.3">
      <c r="A26">
        <v>37</v>
      </c>
      <c r="B26" t="s">
        <v>12</v>
      </c>
      <c r="C26">
        <v>28.024999999999999</v>
      </c>
      <c r="D26">
        <v>2</v>
      </c>
      <c r="E26" t="s">
        <v>19</v>
      </c>
      <c r="F26" t="s">
        <v>8</v>
      </c>
      <c r="G26">
        <v>6203.90175</v>
      </c>
      <c r="H26">
        <v>111.3</v>
      </c>
      <c r="I26" t="s">
        <v>1</v>
      </c>
      <c r="J26" t="b">
        <v>0</v>
      </c>
      <c r="K26" t="s">
        <v>16</v>
      </c>
      <c r="L26">
        <v>179194.64</v>
      </c>
      <c r="M26" t="str" cm="1">
        <f t="array" ref="M26">_xlfn.IFS(A26&lt;30,"Young",A26&lt;=50,"Adult",A26&gt;50,"Senior")</f>
        <v>Adult</v>
      </c>
    </row>
    <row r="27" spans="1:13" x14ac:dyDescent="0.3">
      <c r="A27">
        <v>59</v>
      </c>
      <c r="B27" t="s">
        <v>11</v>
      </c>
      <c r="C27">
        <v>27.72</v>
      </c>
      <c r="D27">
        <v>3</v>
      </c>
      <c r="E27" t="s">
        <v>19</v>
      </c>
      <c r="F27" t="s">
        <v>7</v>
      </c>
      <c r="G27">
        <v>14001.1338</v>
      </c>
      <c r="H27">
        <v>116.4</v>
      </c>
      <c r="I27" t="s">
        <v>3</v>
      </c>
      <c r="J27" t="b">
        <v>0</v>
      </c>
      <c r="K27" t="s">
        <v>14</v>
      </c>
      <c r="L27">
        <v>73018.960000000006</v>
      </c>
      <c r="M27" t="str" cm="1">
        <f t="array" ref="M27">_xlfn.IFS(A27&lt;30,"Young",A27&lt;=50,"Adult",A27&gt;50,"Senior")</f>
        <v>Senior</v>
      </c>
    </row>
    <row r="28" spans="1:13" x14ac:dyDescent="0.3">
      <c r="A28">
        <v>63</v>
      </c>
      <c r="B28" t="s">
        <v>11</v>
      </c>
      <c r="C28">
        <v>23.085000000000001</v>
      </c>
      <c r="D28">
        <v>0</v>
      </c>
      <c r="E28" t="s">
        <v>19</v>
      </c>
      <c r="F28" t="s">
        <v>9</v>
      </c>
      <c r="G28">
        <v>14451.835150000001</v>
      </c>
      <c r="H28">
        <v>130.9</v>
      </c>
      <c r="I28" t="s">
        <v>2</v>
      </c>
      <c r="J28" t="b">
        <v>1</v>
      </c>
      <c r="K28" t="s">
        <v>15</v>
      </c>
      <c r="L28">
        <v>53450.87</v>
      </c>
      <c r="M28" t="str" cm="1">
        <f t="array" ref="M28">_xlfn.IFS(A28&lt;30,"Young",A28&lt;=50,"Adult",A28&gt;50,"Senior")</f>
        <v>Senior</v>
      </c>
    </row>
    <row r="29" spans="1:13" x14ac:dyDescent="0.3">
      <c r="A29">
        <v>55</v>
      </c>
      <c r="B29" t="s">
        <v>11</v>
      </c>
      <c r="C29">
        <v>32.774999999999999</v>
      </c>
      <c r="D29">
        <v>2</v>
      </c>
      <c r="E29" t="s">
        <v>19</v>
      </c>
      <c r="F29" t="s">
        <v>8</v>
      </c>
      <c r="G29">
        <v>12268.632250000001</v>
      </c>
      <c r="H29">
        <v>129.1</v>
      </c>
      <c r="I29" t="s">
        <v>2</v>
      </c>
      <c r="J29" t="b">
        <v>0</v>
      </c>
      <c r="K29" t="s">
        <v>15</v>
      </c>
      <c r="L29">
        <v>57405.68</v>
      </c>
      <c r="M29" t="str" cm="1">
        <f t="array" ref="M29">_xlfn.IFS(A29&lt;30,"Young",A29&lt;=50,"Adult",A29&gt;50,"Senior")</f>
        <v>Senior</v>
      </c>
    </row>
    <row r="30" spans="1:13" x14ac:dyDescent="0.3">
      <c r="A30">
        <v>23</v>
      </c>
      <c r="B30" t="s">
        <v>12</v>
      </c>
      <c r="C30">
        <v>17.385000000000002</v>
      </c>
      <c r="D30">
        <v>1</v>
      </c>
      <c r="E30" t="s">
        <v>19</v>
      </c>
      <c r="F30" t="s">
        <v>8</v>
      </c>
      <c r="G30">
        <v>2775.1921499999999</v>
      </c>
      <c r="H30">
        <v>131.69999999999999</v>
      </c>
      <c r="I30" t="s">
        <v>2</v>
      </c>
      <c r="J30" t="b">
        <v>1</v>
      </c>
      <c r="K30" t="s">
        <v>15</v>
      </c>
      <c r="L30">
        <v>107792.94</v>
      </c>
      <c r="M30" t="str" cm="1">
        <f t="array" ref="M30">_xlfn.IFS(A30&lt;30,"Young",A30&lt;=50,"Adult",A30&gt;50,"Senior")</f>
        <v>Young</v>
      </c>
    </row>
    <row r="31" spans="1:13" x14ac:dyDescent="0.3">
      <c r="A31">
        <v>31</v>
      </c>
      <c r="B31" t="s">
        <v>12</v>
      </c>
      <c r="C31">
        <v>36.299999999999997</v>
      </c>
      <c r="D31">
        <v>2</v>
      </c>
      <c r="E31" t="s">
        <v>18</v>
      </c>
      <c r="F31" t="s">
        <v>6</v>
      </c>
      <c r="G31">
        <v>38711</v>
      </c>
      <c r="H31">
        <v>135.9</v>
      </c>
      <c r="I31" t="s">
        <v>1</v>
      </c>
      <c r="J31" t="b">
        <v>1</v>
      </c>
      <c r="K31" t="s">
        <v>14</v>
      </c>
      <c r="L31">
        <v>132114.72</v>
      </c>
      <c r="M31" t="str" cm="1">
        <f t="array" ref="M31">_xlfn.IFS(A31&lt;30,"Young",A31&lt;=50,"Adult",A31&gt;50,"Senior")</f>
        <v>Adult</v>
      </c>
    </row>
    <row r="32" spans="1:13" x14ac:dyDescent="0.3">
      <c r="A32">
        <v>22</v>
      </c>
      <c r="B32" t="s">
        <v>12</v>
      </c>
      <c r="C32">
        <v>35.6</v>
      </c>
      <c r="D32">
        <v>0</v>
      </c>
      <c r="E32" t="s">
        <v>18</v>
      </c>
      <c r="F32" t="s">
        <v>6</v>
      </c>
      <c r="G32">
        <v>35585.576000000001</v>
      </c>
      <c r="H32">
        <v>126</v>
      </c>
      <c r="I32" t="s">
        <v>3</v>
      </c>
      <c r="J32" t="b">
        <v>1</v>
      </c>
      <c r="K32" t="s">
        <v>16</v>
      </c>
      <c r="L32">
        <v>120987.25</v>
      </c>
      <c r="M32" t="str" cm="1">
        <f t="array" ref="M32">_xlfn.IFS(A32&lt;30,"Young",A32&lt;=50,"Adult",A32&gt;50,"Senior")</f>
        <v>Young</v>
      </c>
    </row>
    <row r="33" spans="1:13" x14ac:dyDescent="0.3">
      <c r="A33">
        <v>18</v>
      </c>
      <c r="B33" t="s">
        <v>11</v>
      </c>
      <c r="C33">
        <v>26.315000000000001</v>
      </c>
      <c r="D33">
        <v>0</v>
      </c>
      <c r="E33" t="s">
        <v>19</v>
      </c>
      <c r="F33" t="s">
        <v>9</v>
      </c>
      <c r="G33">
        <v>2198.1898500000002</v>
      </c>
      <c r="H33">
        <v>121.5</v>
      </c>
      <c r="I33" t="s">
        <v>3</v>
      </c>
      <c r="J33" t="b">
        <v>1</v>
      </c>
      <c r="K33" t="s">
        <v>16</v>
      </c>
      <c r="L33">
        <v>88178.84</v>
      </c>
      <c r="M33" t="str" cm="1">
        <f t="array" ref="M33">_xlfn.IFS(A33&lt;30,"Young",A33&lt;=50,"Adult",A33&gt;50,"Senior")</f>
        <v>Young</v>
      </c>
    </row>
    <row r="34" spans="1:13" x14ac:dyDescent="0.3">
      <c r="A34">
        <v>19</v>
      </c>
      <c r="B34" t="s">
        <v>11</v>
      </c>
      <c r="C34">
        <v>28.6</v>
      </c>
      <c r="D34">
        <v>5</v>
      </c>
      <c r="E34" t="s">
        <v>19</v>
      </c>
      <c r="F34" t="s">
        <v>6</v>
      </c>
      <c r="G34">
        <v>4687.7969999999996</v>
      </c>
      <c r="H34">
        <v>122.4</v>
      </c>
      <c r="I34" t="s">
        <v>1</v>
      </c>
      <c r="J34" t="b">
        <v>0</v>
      </c>
      <c r="K34" t="s">
        <v>15</v>
      </c>
      <c r="L34">
        <v>161477.62</v>
      </c>
      <c r="M34" t="str" cm="1">
        <f t="array" ref="M34">_xlfn.IFS(A34&lt;30,"Young",A34&lt;=50,"Adult",A34&gt;50,"Senior")</f>
        <v>Young</v>
      </c>
    </row>
    <row r="35" spans="1:13" x14ac:dyDescent="0.3">
      <c r="A35">
        <v>63</v>
      </c>
      <c r="B35" t="s">
        <v>12</v>
      </c>
      <c r="C35">
        <v>28.31</v>
      </c>
      <c r="D35">
        <v>0</v>
      </c>
      <c r="E35" t="s">
        <v>19</v>
      </c>
      <c r="F35" t="s">
        <v>8</v>
      </c>
      <c r="G35">
        <v>13770.097900000001</v>
      </c>
      <c r="H35">
        <v>131.4</v>
      </c>
      <c r="I35" t="s">
        <v>1</v>
      </c>
      <c r="J35" t="b">
        <v>1</v>
      </c>
      <c r="K35" t="s">
        <v>15</v>
      </c>
      <c r="L35">
        <v>159908.24</v>
      </c>
      <c r="M35" t="str" cm="1">
        <f t="array" ref="M35">_xlfn.IFS(A35&lt;30,"Young",A35&lt;=50,"Adult",A35&gt;50,"Senior")</f>
        <v>Senior</v>
      </c>
    </row>
    <row r="36" spans="1:13" x14ac:dyDescent="0.3">
      <c r="A36">
        <v>28</v>
      </c>
      <c r="B36" t="s">
        <v>12</v>
      </c>
      <c r="C36">
        <v>36.4</v>
      </c>
      <c r="D36">
        <v>1</v>
      </c>
      <c r="E36" t="s">
        <v>18</v>
      </c>
      <c r="F36" t="s">
        <v>6</v>
      </c>
      <c r="G36">
        <v>51194.559139999998</v>
      </c>
      <c r="H36">
        <v>133.4</v>
      </c>
      <c r="I36" t="s">
        <v>2</v>
      </c>
      <c r="J36" t="b">
        <v>1</v>
      </c>
      <c r="K36" t="s">
        <v>16</v>
      </c>
      <c r="L36">
        <v>73808.92</v>
      </c>
      <c r="M36" t="str" cm="1">
        <f t="array" ref="M36">_xlfn.IFS(A36&lt;30,"Young",A36&lt;=50,"Adult",A36&gt;50,"Senior")</f>
        <v>Young</v>
      </c>
    </row>
    <row r="37" spans="1:13" x14ac:dyDescent="0.3">
      <c r="A37">
        <v>19</v>
      </c>
      <c r="B37" t="s">
        <v>12</v>
      </c>
      <c r="C37">
        <v>20.425000000000001</v>
      </c>
      <c r="D37">
        <v>0</v>
      </c>
      <c r="E37" t="s">
        <v>19</v>
      </c>
      <c r="F37" t="s">
        <v>8</v>
      </c>
      <c r="G37">
        <v>1625.4337499999999</v>
      </c>
      <c r="H37">
        <v>121.7</v>
      </c>
      <c r="I37" t="s">
        <v>0</v>
      </c>
      <c r="J37" t="b">
        <v>1</v>
      </c>
      <c r="K37" t="s">
        <v>15</v>
      </c>
      <c r="L37">
        <v>188822.17</v>
      </c>
      <c r="M37" t="str" cm="1">
        <f t="array" ref="M37">_xlfn.IFS(A37&lt;30,"Young",A37&lt;=50,"Adult",A37&gt;50,"Senior")</f>
        <v>Young</v>
      </c>
    </row>
    <row r="38" spans="1:13" x14ac:dyDescent="0.3">
      <c r="A38">
        <v>62</v>
      </c>
      <c r="B38" t="s">
        <v>11</v>
      </c>
      <c r="C38">
        <v>32.965000000000003</v>
      </c>
      <c r="D38">
        <v>3</v>
      </c>
      <c r="E38" t="s">
        <v>19</v>
      </c>
      <c r="F38" t="s">
        <v>8</v>
      </c>
      <c r="G38">
        <v>15612.19335</v>
      </c>
      <c r="H38">
        <v>111.3</v>
      </c>
      <c r="I38" t="s">
        <v>1</v>
      </c>
      <c r="J38" t="b">
        <v>0</v>
      </c>
      <c r="K38" t="s">
        <v>16</v>
      </c>
      <c r="L38">
        <v>39975.71</v>
      </c>
      <c r="M38" t="str" cm="1">
        <f t="array" ref="M38">_xlfn.IFS(A38&lt;30,"Young",A38&lt;=50,"Adult",A38&gt;50,"Senior")</f>
        <v>Senior</v>
      </c>
    </row>
    <row r="39" spans="1:13" x14ac:dyDescent="0.3">
      <c r="A39">
        <v>26</v>
      </c>
      <c r="B39" t="s">
        <v>12</v>
      </c>
      <c r="C39">
        <v>20.8</v>
      </c>
      <c r="D39">
        <v>0</v>
      </c>
      <c r="E39" t="s">
        <v>19</v>
      </c>
      <c r="F39" t="s">
        <v>6</v>
      </c>
      <c r="G39">
        <v>2302.3000000000002</v>
      </c>
      <c r="H39">
        <v>124.5</v>
      </c>
      <c r="I39" t="s">
        <v>0</v>
      </c>
      <c r="J39" t="b">
        <v>0</v>
      </c>
      <c r="K39" t="s">
        <v>14</v>
      </c>
      <c r="L39">
        <v>97279.03</v>
      </c>
      <c r="M39" t="str" cm="1">
        <f t="array" ref="M39">_xlfn.IFS(A39&lt;30,"Young",A39&lt;=50,"Adult",A39&gt;50,"Senior")</f>
        <v>Young</v>
      </c>
    </row>
    <row r="40" spans="1:13" x14ac:dyDescent="0.3">
      <c r="A40">
        <v>35</v>
      </c>
      <c r="B40" t="s">
        <v>12</v>
      </c>
      <c r="C40">
        <v>36.67</v>
      </c>
      <c r="D40">
        <v>1</v>
      </c>
      <c r="E40" t="s">
        <v>18</v>
      </c>
      <c r="F40" t="s">
        <v>9</v>
      </c>
      <c r="G40">
        <v>39774.276299999998</v>
      </c>
      <c r="H40">
        <v>116.1</v>
      </c>
      <c r="I40" t="s">
        <v>0</v>
      </c>
      <c r="J40" t="b">
        <v>1</v>
      </c>
      <c r="K40" t="s">
        <v>15</v>
      </c>
      <c r="L40">
        <v>176382.51</v>
      </c>
      <c r="M40" t="str" cm="1">
        <f t="array" ref="M40">_xlfn.IFS(A40&lt;30,"Young",A40&lt;=50,"Adult",A40&gt;50,"Senior")</f>
        <v>Adult</v>
      </c>
    </row>
    <row r="41" spans="1:13" x14ac:dyDescent="0.3">
      <c r="A41">
        <v>60</v>
      </c>
      <c r="B41" t="s">
        <v>12</v>
      </c>
      <c r="C41">
        <v>39.9</v>
      </c>
      <c r="D41">
        <v>0</v>
      </c>
      <c r="E41" t="s">
        <v>18</v>
      </c>
      <c r="F41" t="s">
        <v>6</v>
      </c>
      <c r="G41">
        <v>48173.360999999997</v>
      </c>
      <c r="H41">
        <v>137.9</v>
      </c>
      <c r="I41" t="s">
        <v>1</v>
      </c>
      <c r="J41" t="b">
        <v>1</v>
      </c>
      <c r="K41" t="s">
        <v>16</v>
      </c>
      <c r="L41">
        <v>142445.84</v>
      </c>
      <c r="M41" t="str" cm="1">
        <f t="array" ref="M41">_xlfn.IFS(A41&lt;30,"Young",A41&lt;=50,"Adult",A41&gt;50,"Senior")</f>
        <v>Senior</v>
      </c>
    </row>
    <row r="42" spans="1:13" x14ac:dyDescent="0.3">
      <c r="A42">
        <v>24</v>
      </c>
      <c r="B42" t="s">
        <v>11</v>
      </c>
      <c r="C42">
        <v>26.6</v>
      </c>
      <c r="D42">
        <v>0</v>
      </c>
      <c r="E42" t="s">
        <v>19</v>
      </c>
      <c r="F42" t="s">
        <v>9</v>
      </c>
      <c r="G42">
        <v>3046.0619999999999</v>
      </c>
      <c r="H42">
        <v>137.5</v>
      </c>
      <c r="I42" t="s">
        <v>1</v>
      </c>
      <c r="J42" t="b">
        <v>0</v>
      </c>
      <c r="K42" t="s">
        <v>14</v>
      </c>
      <c r="L42">
        <v>154983.70000000001</v>
      </c>
      <c r="M42" t="str" cm="1">
        <f t="array" ref="M42">_xlfn.IFS(A42&lt;30,"Young",A42&lt;=50,"Adult",A42&gt;50,"Senior")</f>
        <v>Young</v>
      </c>
    </row>
    <row r="43" spans="1:13" x14ac:dyDescent="0.3">
      <c r="A43">
        <v>31</v>
      </c>
      <c r="B43" t="s">
        <v>11</v>
      </c>
      <c r="C43">
        <v>36.630000000000003</v>
      </c>
      <c r="D43">
        <v>2</v>
      </c>
      <c r="E43" t="s">
        <v>19</v>
      </c>
      <c r="F43" t="s">
        <v>7</v>
      </c>
      <c r="G43">
        <v>4949.7587000000003</v>
      </c>
      <c r="H43">
        <v>137</v>
      </c>
      <c r="I43" t="s">
        <v>3</v>
      </c>
      <c r="J43" t="b">
        <v>0</v>
      </c>
      <c r="K43" t="s">
        <v>15</v>
      </c>
      <c r="L43">
        <v>46716.72</v>
      </c>
      <c r="M43" t="str" cm="1">
        <f t="array" ref="M43">_xlfn.IFS(A43&lt;30,"Young",A43&lt;=50,"Adult",A43&gt;50,"Senior")</f>
        <v>Adult</v>
      </c>
    </row>
    <row r="44" spans="1:13" x14ac:dyDescent="0.3">
      <c r="A44">
        <v>41</v>
      </c>
      <c r="B44" t="s">
        <v>12</v>
      </c>
      <c r="C44">
        <v>21.78</v>
      </c>
      <c r="D44">
        <v>1</v>
      </c>
      <c r="E44" t="s">
        <v>19</v>
      </c>
      <c r="F44" t="s">
        <v>7</v>
      </c>
      <c r="G44">
        <v>6272.4772000000003</v>
      </c>
      <c r="H44">
        <v>137</v>
      </c>
      <c r="I44" t="s">
        <v>3</v>
      </c>
      <c r="J44" t="b">
        <v>0</v>
      </c>
      <c r="K44" t="s">
        <v>15</v>
      </c>
      <c r="L44">
        <v>90932.17</v>
      </c>
      <c r="M44" t="str" cm="1">
        <f t="array" ref="M44">_xlfn.IFS(A44&lt;30,"Young",A44&lt;=50,"Adult",A44&gt;50,"Senior")</f>
        <v>Adult</v>
      </c>
    </row>
    <row r="45" spans="1:13" x14ac:dyDescent="0.3">
      <c r="A45">
        <v>37</v>
      </c>
      <c r="B45" t="s">
        <v>11</v>
      </c>
      <c r="C45">
        <v>30.8</v>
      </c>
      <c r="D45">
        <v>2</v>
      </c>
      <c r="E45" t="s">
        <v>19</v>
      </c>
      <c r="F45" t="s">
        <v>7</v>
      </c>
      <c r="G45">
        <v>6313.759</v>
      </c>
      <c r="H45">
        <v>133.5</v>
      </c>
      <c r="I45" t="s">
        <v>0</v>
      </c>
      <c r="J45" t="b">
        <v>1</v>
      </c>
      <c r="K45" t="s">
        <v>16</v>
      </c>
      <c r="L45">
        <v>33315.61</v>
      </c>
      <c r="M45" t="str" cm="1">
        <f t="array" ref="M45">_xlfn.IFS(A45&lt;30,"Young",A45&lt;=50,"Adult",A45&gt;50,"Senior")</f>
        <v>Adult</v>
      </c>
    </row>
    <row r="46" spans="1:13" x14ac:dyDescent="0.3">
      <c r="A46">
        <v>38</v>
      </c>
      <c r="B46" t="s">
        <v>12</v>
      </c>
      <c r="C46">
        <v>37.049999999999997</v>
      </c>
      <c r="D46">
        <v>1</v>
      </c>
      <c r="E46" t="s">
        <v>19</v>
      </c>
      <c r="F46" t="s">
        <v>9</v>
      </c>
      <c r="G46">
        <v>6079.6715000000004</v>
      </c>
      <c r="H46">
        <v>122.1</v>
      </c>
      <c r="I46" t="s">
        <v>2</v>
      </c>
      <c r="J46" t="b">
        <v>0</v>
      </c>
      <c r="K46" t="s">
        <v>15</v>
      </c>
      <c r="L46">
        <v>179031.2</v>
      </c>
      <c r="M46" t="str" cm="1">
        <f t="array" ref="M46">_xlfn.IFS(A46&lt;30,"Young",A46&lt;=50,"Adult",A46&gt;50,"Senior")</f>
        <v>Adult</v>
      </c>
    </row>
    <row r="47" spans="1:13" x14ac:dyDescent="0.3">
      <c r="A47">
        <v>55</v>
      </c>
      <c r="B47" t="s">
        <v>12</v>
      </c>
      <c r="C47">
        <v>37.299999999999997</v>
      </c>
      <c r="D47">
        <v>0</v>
      </c>
      <c r="E47" t="s">
        <v>19</v>
      </c>
      <c r="F47" t="s">
        <v>6</v>
      </c>
      <c r="G47">
        <v>20630.283510000001</v>
      </c>
      <c r="H47">
        <v>124.8</v>
      </c>
      <c r="I47" t="s">
        <v>2</v>
      </c>
      <c r="J47" t="b">
        <v>1</v>
      </c>
      <c r="K47" t="s">
        <v>16</v>
      </c>
      <c r="L47">
        <v>103115.43</v>
      </c>
      <c r="M47" t="str" cm="1">
        <f t="array" ref="M47">_xlfn.IFS(A47&lt;30,"Young",A47&lt;=50,"Adult",A47&gt;50,"Senior")</f>
        <v>Senior</v>
      </c>
    </row>
    <row r="48" spans="1:13" x14ac:dyDescent="0.3">
      <c r="A48">
        <v>18</v>
      </c>
      <c r="B48" t="s">
        <v>11</v>
      </c>
      <c r="C48">
        <v>38.664999999999999</v>
      </c>
      <c r="D48">
        <v>2</v>
      </c>
      <c r="E48" t="s">
        <v>19</v>
      </c>
      <c r="F48" t="s">
        <v>9</v>
      </c>
      <c r="G48">
        <v>3393.35635</v>
      </c>
      <c r="H48">
        <v>122.9</v>
      </c>
      <c r="I48" t="s">
        <v>3</v>
      </c>
      <c r="J48" t="b">
        <v>0</v>
      </c>
      <c r="K48" t="s">
        <v>14</v>
      </c>
      <c r="L48">
        <v>57520.23</v>
      </c>
      <c r="M48" t="str" cm="1">
        <f t="array" ref="M48">_xlfn.IFS(A48&lt;30,"Young",A48&lt;=50,"Adult",A48&gt;50,"Senior")</f>
        <v>Young</v>
      </c>
    </row>
    <row r="49" spans="1:13" x14ac:dyDescent="0.3">
      <c r="A49">
        <v>28</v>
      </c>
      <c r="B49" t="s">
        <v>11</v>
      </c>
      <c r="C49">
        <v>34.770000000000003</v>
      </c>
      <c r="D49">
        <v>0</v>
      </c>
      <c r="E49" t="s">
        <v>19</v>
      </c>
      <c r="F49" t="s">
        <v>8</v>
      </c>
      <c r="G49">
        <v>3556.9223000000002</v>
      </c>
      <c r="H49">
        <v>112.1</v>
      </c>
      <c r="I49" t="s">
        <v>3</v>
      </c>
      <c r="J49" t="b">
        <v>1</v>
      </c>
      <c r="K49" t="s">
        <v>14</v>
      </c>
      <c r="L49">
        <v>45767.22</v>
      </c>
      <c r="M49" t="str" cm="1">
        <f t="array" ref="M49">_xlfn.IFS(A49&lt;30,"Young",A49&lt;=50,"Adult",A49&gt;50,"Senior")</f>
        <v>Young</v>
      </c>
    </row>
    <row r="50" spans="1:13" x14ac:dyDescent="0.3">
      <c r="A50">
        <v>60</v>
      </c>
      <c r="B50" t="s">
        <v>11</v>
      </c>
      <c r="C50">
        <v>24.53</v>
      </c>
      <c r="D50">
        <v>0</v>
      </c>
      <c r="E50" t="s">
        <v>19</v>
      </c>
      <c r="F50" t="s">
        <v>7</v>
      </c>
      <c r="G50">
        <v>12629.896699999999</v>
      </c>
      <c r="H50">
        <v>120.5</v>
      </c>
      <c r="I50" t="s">
        <v>2</v>
      </c>
      <c r="J50" t="b">
        <v>1</v>
      </c>
      <c r="K50" t="s">
        <v>15</v>
      </c>
      <c r="L50">
        <v>108077.82</v>
      </c>
      <c r="M50" t="str" cm="1">
        <f t="array" ref="M50">_xlfn.IFS(A50&lt;30,"Young",A50&lt;=50,"Adult",A50&gt;50,"Senior")</f>
        <v>Senior</v>
      </c>
    </row>
    <row r="51" spans="1:13" x14ac:dyDescent="0.3">
      <c r="A51">
        <v>36</v>
      </c>
      <c r="B51" t="s">
        <v>12</v>
      </c>
      <c r="C51">
        <v>35.200000000000003</v>
      </c>
      <c r="D51">
        <v>1</v>
      </c>
      <c r="E51" t="s">
        <v>18</v>
      </c>
      <c r="F51" t="s">
        <v>7</v>
      </c>
      <c r="G51">
        <v>38709.175999999999</v>
      </c>
      <c r="H51">
        <v>120.3</v>
      </c>
      <c r="I51" t="s">
        <v>1</v>
      </c>
      <c r="J51" t="b">
        <v>0</v>
      </c>
      <c r="K51" t="s">
        <v>15</v>
      </c>
      <c r="L51">
        <v>184073.88</v>
      </c>
      <c r="M51" t="str" cm="1">
        <f t="array" ref="M51">_xlfn.IFS(A51&lt;30,"Young",A51&lt;=50,"Adult",A51&gt;50,"Senior")</f>
        <v>Adult</v>
      </c>
    </row>
    <row r="52" spans="1:13" x14ac:dyDescent="0.3">
      <c r="A52">
        <v>18</v>
      </c>
      <c r="B52" t="s">
        <v>11</v>
      </c>
      <c r="C52">
        <v>35.625</v>
      </c>
      <c r="D52">
        <v>0</v>
      </c>
      <c r="E52" t="s">
        <v>19</v>
      </c>
      <c r="F52" t="s">
        <v>9</v>
      </c>
      <c r="G52">
        <v>2211.1307499999998</v>
      </c>
      <c r="H52">
        <v>131.1</v>
      </c>
      <c r="I52" t="s">
        <v>2</v>
      </c>
      <c r="J52" t="b">
        <v>1</v>
      </c>
      <c r="K52" t="s">
        <v>15</v>
      </c>
      <c r="L52">
        <v>34798.870000000003</v>
      </c>
      <c r="M52" t="str" cm="1">
        <f t="array" ref="M52">_xlfn.IFS(A52&lt;30,"Young",A52&lt;=50,"Adult",A52&gt;50,"Senior")</f>
        <v>Young</v>
      </c>
    </row>
    <row r="53" spans="1:13" x14ac:dyDescent="0.3">
      <c r="A53">
        <v>21</v>
      </c>
      <c r="B53" t="s">
        <v>11</v>
      </c>
      <c r="C53">
        <v>33.630000000000003</v>
      </c>
      <c r="D53">
        <v>2</v>
      </c>
      <c r="E53" t="s">
        <v>19</v>
      </c>
      <c r="F53" t="s">
        <v>8</v>
      </c>
      <c r="G53">
        <v>3579.8287</v>
      </c>
      <c r="H53">
        <v>110.5</v>
      </c>
      <c r="I53" t="s">
        <v>1</v>
      </c>
      <c r="J53" t="b">
        <v>0</v>
      </c>
      <c r="K53" t="s">
        <v>16</v>
      </c>
      <c r="L53">
        <v>135157.21</v>
      </c>
      <c r="M53" t="str" cm="1">
        <f t="array" ref="M53">_xlfn.IFS(A53&lt;30,"Young",A53&lt;=50,"Adult",A53&gt;50,"Senior")</f>
        <v>Young</v>
      </c>
    </row>
    <row r="54" spans="1:13" x14ac:dyDescent="0.3">
      <c r="A54">
        <v>48</v>
      </c>
      <c r="B54" t="s">
        <v>12</v>
      </c>
      <c r="C54">
        <v>28</v>
      </c>
      <c r="D54">
        <v>1</v>
      </c>
      <c r="E54" t="s">
        <v>18</v>
      </c>
      <c r="F54" t="s">
        <v>6</v>
      </c>
      <c r="G54">
        <v>23568.272000000001</v>
      </c>
      <c r="H54">
        <v>114.7</v>
      </c>
      <c r="I54" t="s">
        <v>1</v>
      </c>
      <c r="J54" t="b">
        <v>1</v>
      </c>
      <c r="K54" t="s">
        <v>14</v>
      </c>
      <c r="L54">
        <v>104642.65</v>
      </c>
      <c r="M54" t="str" cm="1">
        <f t="array" ref="M54">_xlfn.IFS(A54&lt;30,"Young",A54&lt;=50,"Adult",A54&gt;50,"Senior")</f>
        <v>Adult</v>
      </c>
    </row>
    <row r="55" spans="1:13" x14ac:dyDescent="0.3">
      <c r="A55">
        <v>36</v>
      </c>
      <c r="B55" t="s">
        <v>12</v>
      </c>
      <c r="C55">
        <v>34.43</v>
      </c>
      <c r="D55">
        <v>0</v>
      </c>
      <c r="E55" t="s">
        <v>18</v>
      </c>
      <c r="F55" t="s">
        <v>7</v>
      </c>
      <c r="G55">
        <v>37742.575700000001</v>
      </c>
      <c r="H55">
        <v>116.6</v>
      </c>
      <c r="I55" t="s">
        <v>3</v>
      </c>
      <c r="J55" t="b">
        <v>0</v>
      </c>
      <c r="K55" t="s">
        <v>14</v>
      </c>
      <c r="L55">
        <v>64295.24</v>
      </c>
      <c r="M55" t="str" cm="1">
        <f t="array" ref="M55">_xlfn.IFS(A55&lt;30,"Young",A55&lt;=50,"Adult",A55&gt;50,"Senior")</f>
        <v>Adult</v>
      </c>
    </row>
    <row r="56" spans="1:13" x14ac:dyDescent="0.3">
      <c r="A56">
        <v>40</v>
      </c>
      <c r="B56" t="s">
        <v>11</v>
      </c>
      <c r="C56">
        <v>28.69</v>
      </c>
      <c r="D56">
        <v>3</v>
      </c>
      <c r="E56" t="s">
        <v>19</v>
      </c>
      <c r="F56" t="s">
        <v>8</v>
      </c>
      <c r="G56">
        <v>8059.6791000000003</v>
      </c>
      <c r="H56">
        <v>115.9</v>
      </c>
      <c r="I56" t="s">
        <v>1</v>
      </c>
      <c r="J56" t="b">
        <v>0</v>
      </c>
      <c r="K56" t="s">
        <v>16</v>
      </c>
      <c r="L56">
        <v>118186.66</v>
      </c>
      <c r="M56" t="str" cm="1">
        <f t="array" ref="M56">_xlfn.IFS(A56&lt;30,"Young",A56&lt;=50,"Adult",A56&gt;50,"Senior")</f>
        <v>Adult</v>
      </c>
    </row>
    <row r="57" spans="1:13" x14ac:dyDescent="0.3">
      <c r="A57">
        <v>58</v>
      </c>
      <c r="B57" t="s">
        <v>12</v>
      </c>
      <c r="C57">
        <v>36.954999999999998</v>
      </c>
      <c r="D57">
        <v>2</v>
      </c>
      <c r="E57" t="s">
        <v>18</v>
      </c>
      <c r="F57" t="s">
        <v>8</v>
      </c>
      <c r="G57">
        <v>47496.494449999998</v>
      </c>
      <c r="H57">
        <v>119.4</v>
      </c>
      <c r="I57" t="s">
        <v>1</v>
      </c>
      <c r="J57" t="b">
        <v>0</v>
      </c>
      <c r="K57" t="s">
        <v>14</v>
      </c>
      <c r="L57">
        <v>59127.96</v>
      </c>
      <c r="M57" t="str" cm="1">
        <f t="array" ref="M57">_xlfn.IFS(A57&lt;30,"Young",A57&lt;=50,"Adult",A57&gt;50,"Senior")</f>
        <v>Senior</v>
      </c>
    </row>
    <row r="58" spans="1:13" x14ac:dyDescent="0.3">
      <c r="A58">
        <v>58</v>
      </c>
      <c r="B58" t="s">
        <v>11</v>
      </c>
      <c r="C58">
        <v>31.824999999999999</v>
      </c>
      <c r="D58">
        <v>2</v>
      </c>
      <c r="E58" t="s">
        <v>19</v>
      </c>
      <c r="F58" t="s">
        <v>9</v>
      </c>
      <c r="G58">
        <v>13607.36875</v>
      </c>
      <c r="H58">
        <v>110.7</v>
      </c>
      <c r="I58" t="s">
        <v>1</v>
      </c>
      <c r="J58" t="b">
        <v>1</v>
      </c>
      <c r="K58" t="s">
        <v>14</v>
      </c>
      <c r="L58">
        <v>174647.91</v>
      </c>
      <c r="M58" t="str" cm="1">
        <f t="array" ref="M58">_xlfn.IFS(A58&lt;30,"Young",A58&lt;=50,"Adult",A58&gt;50,"Senior")</f>
        <v>Senior</v>
      </c>
    </row>
    <row r="59" spans="1:13" x14ac:dyDescent="0.3">
      <c r="A59">
        <v>18</v>
      </c>
      <c r="B59" t="s">
        <v>12</v>
      </c>
      <c r="C59">
        <v>31.68</v>
      </c>
      <c r="D59">
        <v>2</v>
      </c>
      <c r="E59" t="s">
        <v>18</v>
      </c>
      <c r="F59" t="s">
        <v>7</v>
      </c>
      <c r="G59">
        <v>34303.167200000004</v>
      </c>
      <c r="H59">
        <v>125</v>
      </c>
      <c r="I59" t="s">
        <v>2</v>
      </c>
      <c r="J59" t="b">
        <v>1</v>
      </c>
      <c r="K59" t="s">
        <v>16</v>
      </c>
      <c r="L59">
        <v>127659.74</v>
      </c>
      <c r="M59" t="str" cm="1">
        <f t="array" ref="M59">_xlfn.IFS(A59&lt;30,"Young",A59&lt;=50,"Adult",A59&gt;50,"Senior")</f>
        <v>Young</v>
      </c>
    </row>
    <row r="60" spans="1:13" x14ac:dyDescent="0.3">
      <c r="A60">
        <v>53</v>
      </c>
      <c r="B60" t="s">
        <v>11</v>
      </c>
      <c r="C60">
        <v>22.88</v>
      </c>
      <c r="D60">
        <v>1</v>
      </c>
      <c r="E60" t="s">
        <v>18</v>
      </c>
      <c r="F60" t="s">
        <v>7</v>
      </c>
      <c r="G60">
        <v>23244.790199999999</v>
      </c>
      <c r="H60">
        <v>111.3</v>
      </c>
      <c r="I60" t="s">
        <v>0</v>
      </c>
      <c r="J60" t="b">
        <v>0</v>
      </c>
      <c r="K60" t="s">
        <v>16</v>
      </c>
      <c r="L60">
        <v>93027.53</v>
      </c>
      <c r="M60" t="str" cm="1">
        <f t="array" ref="M60">_xlfn.IFS(A60&lt;30,"Young",A60&lt;=50,"Adult",A60&gt;50,"Senior")</f>
        <v>Senior</v>
      </c>
    </row>
    <row r="61" spans="1:13" x14ac:dyDescent="0.3">
      <c r="A61">
        <v>34</v>
      </c>
      <c r="B61" t="s">
        <v>11</v>
      </c>
      <c r="C61">
        <v>37.335000000000001</v>
      </c>
      <c r="D61">
        <v>2</v>
      </c>
      <c r="E61" t="s">
        <v>19</v>
      </c>
      <c r="F61" t="s">
        <v>8</v>
      </c>
      <c r="G61">
        <v>5989.5236500000001</v>
      </c>
      <c r="H61">
        <v>137.80000000000001</v>
      </c>
      <c r="I61" t="s">
        <v>1</v>
      </c>
      <c r="J61" t="b">
        <v>0</v>
      </c>
      <c r="K61" t="s">
        <v>14</v>
      </c>
      <c r="L61">
        <v>156158.20000000001</v>
      </c>
      <c r="M61" t="str" cm="1">
        <f t="array" ref="M61">_xlfn.IFS(A61&lt;30,"Young",A61&lt;=50,"Adult",A61&gt;50,"Senior")</f>
        <v>Adult</v>
      </c>
    </row>
    <row r="62" spans="1:13" x14ac:dyDescent="0.3">
      <c r="A62">
        <v>43</v>
      </c>
      <c r="B62" t="s">
        <v>12</v>
      </c>
      <c r="C62">
        <v>27.36</v>
      </c>
      <c r="D62">
        <v>3</v>
      </c>
      <c r="E62" t="s">
        <v>19</v>
      </c>
      <c r="F62" t="s">
        <v>9</v>
      </c>
      <c r="G62">
        <v>8606.2173999999995</v>
      </c>
      <c r="H62">
        <v>110.6</v>
      </c>
      <c r="I62" t="s">
        <v>0</v>
      </c>
      <c r="J62" t="b">
        <v>0</v>
      </c>
      <c r="K62" t="s">
        <v>15</v>
      </c>
      <c r="L62">
        <v>163840.88</v>
      </c>
      <c r="M62" t="str" cm="1">
        <f t="array" ref="M62">_xlfn.IFS(A62&lt;30,"Young",A62&lt;=50,"Adult",A62&gt;50,"Senior")</f>
        <v>Adult</v>
      </c>
    </row>
    <row r="63" spans="1:13" x14ac:dyDescent="0.3">
      <c r="A63">
        <v>25</v>
      </c>
      <c r="B63" t="s">
        <v>12</v>
      </c>
      <c r="C63">
        <v>33.659999999999997</v>
      </c>
      <c r="D63">
        <v>4</v>
      </c>
      <c r="E63" t="s">
        <v>19</v>
      </c>
      <c r="F63" t="s">
        <v>7</v>
      </c>
      <c r="G63">
        <v>4504.6624000000002</v>
      </c>
      <c r="H63">
        <v>135.9</v>
      </c>
      <c r="I63" t="s">
        <v>0</v>
      </c>
      <c r="J63" t="b">
        <v>1</v>
      </c>
      <c r="K63" t="s">
        <v>16</v>
      </c>
      <c r="L63">
        <v>166858.66</v>
      </c>
      <c r="M63" t="str" cm="1">
        <f t="array" ref="M63">_xlfn.IFS(A63&lt;30,"Young",A63&lt;=50,"Adult",A63&gt;50,"Senior")</f>
        <v>Young</v>
      </c>
    </row>
    <row r="64" spans="1:13" x14ac:dyDescent="0.3">
      <c r="A64">
        <v>64</v>
      </c>
      <c r="B64" t="s">
        <v>12</v>
      </c>
      <c r="C64">
        <v>24.7</v>
      </c>
      <c r="D64">
        <v>1</v>
      </c>
      <c r="E64" t="s">
        <v>19</v>
      </c>
      <c r="F64" t="s">
        <v>8</v>
      </c>
      <c r="G64">
        <v>30166.618170000002</v>
      </c>
      <c r="H64">
        <v>112.5</v>
      </c>
      <c r="I64" t="s">
        <v>3</v>
      </c>
      <c r="J64" t="b">
        <v>0</v>
      </c>
      <c r="K64" t="s">
        <v>15</v>
      </c>
      <c r="L64">
        <v>188326.35</v>
      </c>
      <c r="M64" t="str" cm="1">
        <f t="array" ref="M64">_xlfn.IFS(A64&lt;30,"Young",A64&lt;=50,"Adult",A64&gt;50,"Senior")</f>
        <v>Senior</v>
      </c>
    </row>
    <row r="65" spans="1:13" x14ac:dyDescent="0.3">
      <c r="A65">
        <v>28</v>
      </c>
      <c r="B65" t="s">
        <v>11</v>
      </c>
      <c r="C65">
        <v>25.934999999999999</v>
      </c>
      <c r="D65">
        <v>1</v>
      </c>
      <c r="E65" t="s">
        <v>19</v>
      </c>
      <c r="F65" t="s">
        <v>8</v>
      </c>
      <c r="G65">
        <v>4133.6416499999996</v>
      </c>
      <c r="H65">
        <v>139.69999999999999</v>
      </c>
      <c r="I65" t="s">
        <v>0</v>
      </c>
      <c r="J65" t="b">
        <v>0</v>
      </c>
      <c r="K65" t="s">
        <v>14</v>
      </c>
      <c r="L65">
        <v>176361.32</v>
      </c>
      <c r="M65" t="str" cm="1">
        <f t="array" ref="M65">_xlfn.IFS(A65&lt;30,"Young",A65&lt;=50,"Adult",A65&gt;50,"Senior")</f>
        <v>Young</v>
      </c>
    </row>
    <row r="66" spans="1:13" x14ac:dyDescent="0.3">
      <c r="A66">
        <v>20</v>
      </c>
      <c r="B66" t="s">
        <v>11</v>
      </c>
      <c r="C66">
        <v>22.42</v>
      </c>
      <c r="D66">
        <v>0</v>
      </c>
      <c r="E66" t="s">
        <v>18</v>
      </c>
      <c r="F66" t="s">
        <v>8</v>
      </c>
      <c r="G66">
        <v>14711.7438</v>
      </c>
      <c r="H66">
        <v>138.80000000000001</v>
      </c>
      <c r="I66" t="s">
        <v>2</v>
      </c>
      <c r="J66" t="b">
        <v>1</v>
      </c>
      <c r="K66" t="s">
        <v>14</v>
      </c>
      <c r="L66">
        <v>143460.95000000001</v>
      </c>
      <c r="M66" t="str" cm="1">
        <f t="array" ref="M66">_xlfn.IFS(A66&lt;30,"Young",A66&lt;=50,"Adult",A66&gt;50,"Senior")</f>
        <v>Young</v>
      </c>
    </row>
    <row r="67" spans="1:13" x14ac:dyDescent="0.3">
      <c r="A67">
        <v>19</v>
      </c>
      <c r="B67" t="s">
        <v>11</v>
      </c>
      <c r="C67">
        <v>28.9</v>
      </c>
      <c r="D67">
        <v>0</v>
      </c>
      <c r="E67" t="s">
        <v>19</v>
      </c>
      <c r="F67" t="s">
        <v>6</v>
      </c>
      <c r="G67">
        <v>1743.2139999999999</v>
      </c>
      <c r="H67">
        <v>117.3</v>
      </c>
      <c r="I67" t="s">
        <v>2</v>
      </c>
      <c r="J67" t="b">
        <v>1</v>
      </c>
      <c r="K67" t="s">
        <v>15</v>
      </c>
      <c r="L67">
        <v>144967.79999999999</v>
      </c>
      <c r="M67" t="str" cm="1">
        <f t="array" ref="M67">_xlfn.IFS(A67&lt;30,"Young",A67&lt;=50,"Adult",A67&gt;50,"Senior")</f>
        <v>Young</v>
      </c>
    </row>
    <row r="68" spans="1:13" x14ac:dyDescent="0.3">
      <c r="A68">
        <v>61</v>
      </c>
      <c r="B68" t="s">
        <v>11</v>
      </c>
      <c r="C68">
        <v>39.1</v>
      </c>
      <c r="D68">
        <v>2</v>
      </c>
      <c r="E68" t="s">
        <v>19</v>
      </c>
      <c r="F68" t="s">
        <v>6</v>
      </c>
      <c r="G68">
        <v>14235.072</v>
      </c>
      <c r="H68">
        <v>114.8</v>
      </c>
      <c r="I68" t="s">
        <v>2</v>
      </c>
      <c r="J68" t="b">
        <v>0</v>
      </c>
      <c r="K68" t="s">
        <v>14</v>
      </c>
      <c r="L68">
        <v>106284.47</v>
      </c>
      <c r="M68" t="str" cm="1">
        <f t="array" ref="M68">_xlfn.IFS(A68&lt;30,"Young",A68&lt;=50,"Adult",A68&gt;50,"Senior")</f>
        <v>Senior</v>
      </c>
    </row>
    <row r="69" spans="1:13" x14ac:dyDescent="0.3">
      <c r="A69">
        <v>40</v>
      </c>
      <c r="B69" t="s">
        <v>12</v>
      </c>
      <c r="C69">
        <v>26.315000000000001</v>
      </c>
      <c r="D69">
        <v>1</v>
      </c>
      <c r="E69" t="s">
        <v>19</v>
      </c>
      <c r="F69" t="s">
        <v>8</v>
      </c>
      <c r="G69">
        <v>6389.3778499999999</v>
      </c>
      <c r="H69">
        <v>130.5</v>
      </c>
      <c r="I69" t="s">
        <v>1</v>
      </c>
      <c r="J69" t="b">
        <v>1</v>
      </c>
      <c r="K69" t="s">
        <v>15</v>
      </c>
      <c r="L69">
        <v>57525.42</v>
      </c>
      <c r="M69" t="str" cm="1">
        <f t="array" ref="M69">_xlfn.IFS(A69&lt;30,"Young",A69&lt;=50,"Adult",A69&gt;50,"Senior")</f>
        <v>Adult</v>
      </c>
    </row>
    <row r="70" spans="1:13" x14ac:dyDescent="0.3">
      <c r="A70">
        <v>40</v>
      </c>
      <c r="B70" t="s">
        <v>11</v>
      </c>
      <c r="C70">
        <v>36.19</v>
      </c>
      <c r="D70">
        <v>0</v>
      </c>
      <c r="E70" t="s">
        <v>19</v>
      </c>
      <c r="F70" t="s">
        <v>7</v>
      </c>
      <c r="G70">
        <v>5920.1040999999996</v>
      </c>
      <c r="H70">
        <v>111.8</v>
      </c>
      <c r="I70" t="s">
        <v>2</v>
      </c>
      <c r="J70" t="b">
        <v>0</v>
      </c>
      <c r="K70" t="s">
        <v>14</v>
      </c>
      <c r="L70">
        <v>120994.34</v>
      </c>
      <c r="M70" t="str" cm="1">
        <f t="array" ref="M70">_xlfn.IFS(A70&lt;30,"Young",A70&lt;=50,"Adult",A70&gt;50,"Senior")</f>
        <v>Adult</v>
      </c>
    </row>
    <row r="71" spans="1:13" x14ac:dyDescent="0.3">
      <c r="A71">
        <v>28</v>
      </c>
      <c r="B71" t="s">
        <v>12</v>
      </c>
      <c r="C71">
        <v>23.98</v>
      </c>
      <c r="D71">
        <v>3</v>
      </c>
      <c r="E71" t="s">
        <v>18</v>
      </c>
      <c r="F71" t="s">
        <v>7</v>
      </c>
      <c r="G71">
        <v>17663.144199999999</v>
      </c>
      <c r="H71">
        <v>138.9</v>
      </c>
      <c r="I71" t="s">
        <v>0</v>
      </c>
      <c r="J71" t="b">
        <v>1</v>
      </c>
      <c r="K71" t="s">
        <v>14</v>
      </c>
      <c r="L71">
        <v>94285.79</v>
      </c>
      <c r="M71" t="str" cm="1">
        <f t="array" ref="M71">_xlfn.IFS(A71&lt;30,"Young",A71&lt;=50,"Adult",A71&gt;50,"Senior")</f>
        <v>Young</v>
      </c>
    </row>
    <row r="72" spans="1:13" x14ac:dyDescent="0.3">
      <c r="A72">
        <v>27</v>
      </c>
      <c r="B72" t="s">
        <v>11</v>
      </c>
      <c r="C72">
        <v>24.75</v>
      </c>
      <c r="D72">
        <v>0</v>
      </c>
      <c r="E72" t="s">
        <v>18</v>
      </c>
      <c r="F72" t="s">
        <v>7</v>
      </c>
      <c r="G72">
        <v>16577.779500000001</v>
      </c>
      <c r="H72">
        <v>118.1</v>
      </c>
      <c r="I72" t="s">
        <v>2</v>
      </c>
      <c r="J72" t="b">
        <v>1</v>
      </c>
      <c r="K72" t="s">
        <v>14</v>
      </c>
      <c r="L72">
        <v>88505.5</v>
      </c>
      <c r="M72" t="str" cm="1">
        <f t="array" ref="M72">_xlfn.IFS(A72&lt;30,"Young",A72&lt;=50,"Adult",A72&gt;50,"Senior")</f>
        <v>Young</v>
      </c>
    </row>
    <row r="73" spans="1:13" x14ac:dyDescent="0.3">
      <c r="A73">
        <v>31</v>
      </c>
      <c r="B73" t="s">
        <v>12</v>
      </c>
      <c r="C73">
        <v>28.5</v>
      </c>
      <c r="D73">
        <v>5</v>
      </c>
      <c r="E73" t="s">
        <v>19</v>
      </c>
      <c r="F73" t="s">
        <v>9</v>
      </c>
      <c r="G73">
        <v>6799.4579999999996</v>
      </c>
      <c r="H73">
        <v>116</v>
      </c>
      <c r="I73" t="s">
        <v>0</v>
      </c>
      <c r="J73" t="b">
        <v>1</v>
      </c>
      <c r="K73" t="s">
        <v>16</v>
      </c>
      <c r="L73">
        <v>55233.62</v>
      </c>
      <c r="M73" t="str" cm="1">
        <f t="array" ref="M73">_xlfn.IFS(A73&lt;30,"Young",A73&lt;=50,"Adult",A73&gt;50,"Senior")</f>
        <v>Adult</v>
      </c>
    </row>
    <row r="74" spans="1:13" x14ac:dyDescent="0.3">
      <c r="A74">
        <v>53</v>
      </c>
      <c r="B74" t="s">
        <v>11</v>
      </c>
      <c r="C74">
        <v>28.1</v>
      </c>
      <c r="D74">
        <v>3</v>
      </c>
      <c r="E74" t="s">
        <v>19</v>
      </c>
      <c r="F74" t="s">
        <v>6</v>
      </c>
      <c r="G74">
        <v>11741.726000000001</v>
      </c>
      <c r="H74">
        <v>136.69999999999999</v>
      </c>
      <c r="I74" t="s">
        <v>2</v>
      </c>
      <c r="J74" t="b">
        <v>1</v>
      </c>
      <c r="K74" t="s">
        <v>16</v>
      </c>
      <c r="L74">
        <v>87042.28</v>
      </c>
      <c r="M74" t="str" cm="1">
        <f t="array" ref="M74">_xlfn.IFS(A74&lt;30,"Young",A74&lt;=50,"Adult",A74&gt;50,"Senior")</f>
        <v>Senior</v>
      </c>
    </row>
    <row r="75" spans="1:13" x14ac:dyDescent="0.3">
      <c r="A75">
        <v>58</v>
      </c>
      <c r="B75" t="s">
        <v>12</v>
      </c>
      <c r="C75">
        <v>32.01</v>
      </c>
      <c r="D75">
        <v>1</v>
      </c>
      <c r="E75" t="s">
        <v>19</v>
      </c>
      <c r="F75" t="s">
        <v>7</v>
      </c>
      <c r="G75">
        <v>11946.625899999999</v>
      </c>
      <c r="H75">
        <v>122.3</v>
      </c>
      <c r="I75" t="s">
        <v>1</v>
      </c>
      <c r="J75" t="b">
        <v>1</v>
      </c>
      <c r="K75" t="s">
        <v>14</v>
      </c>
      <c r="L75">
        <v>52424.14</v>
      </c>
      <c r="M75" t="str" cm="1">
        <f t="array" ref="M75">_xlfn.IFS(A75&lt;30,"Young",A75&lt;=50,"Adult",A75&gt;50,"Senior")</f>
        <v>Senior</v>
      </c>
    </row>
    <row r="76" spans="1:13" x14ac:dyDescent="0.3">
      <c r="A76">
        <v>44</v>
      </c>
      <c r="B76" t="s">
        <v>12</v>
      </c>
      <c r="C76">
        <v>27.4</v>
      </c>
      <c r="D76">
        <v>2</v>
      </c>
      <c r="E76" t="s">
        <v>19</v>
      </c>
      <c r="F76" t="s">
        <v>6</v>
      </c>
      <c r="G76">
        <v>7726.8540000000003</v>
      </c>
      <c r="H76">
        <v>130.9</v>
      </c>
      <c r="I76" t="s">
        <v>0</v>
      </c>
      <c r="J76" t="b">
        <v>0</v>
      </c>
      <c r="K76" t="s">
        <v>14</v>
      </c>
      <c r="L76">
        <v>188252.37</v>
      </c>
      <c r="M76" t="str" cm="1">
        <f t="array" ref="M76">_xlfn.IFS(A76&lt;30,"Young",A76&lt;=50,"Adult",A76&gt;50,"Senior")</f>
        <v>Adult</v>
      </c>
    </row>
    <row r="77" spans="1:13" x14ac:dyDescent="0.3">
      <c r="A77">
        <v>57</v>
      </c>
      <c r="B77" t="s">
        <v>12</v>
      </c>
      <c r="C77">
        <v>34.01</v>
      </c>
      <c r="D77">
        <v>0</v>
      </c>
      <c r="E77" t="s">
        <v>19</v>
      </c>
      <c r="F77" t="s">
        <v>8</v>
      </c>
      <c r="G77">
        <v>11356.660900000001</v>
      </c>
      <c r="H77">
        <v>136.69999999999999</v>
      </c>
      <c r="I77" t="s">
        <v>1</v>
      </c>
      <c r="J77" t="b">
        <v>1</v>
      </c>
      <c r="K77" t="s">
        <v>16</v>
      </c>
      <c r="L77">
        <v>50665.94</v>
      </c>
      <c r="M77" t="str" cm="1">
        <f t="array" ref="M77">_xlfn.IFS(A77&lt;30,"Young",A77&lt;=50,"Adult",A77&gt;50,"Senior")</f>
        <v>Senior</v>
      </c>
    </row>
    <row r="78" spans="1:13" x14ac:dyDescent="0.3">
      <c r="A78">
        <v>29</v>
      </c>
      <c r="B78" t="s">
        <v>11</v>
      </c>
      <c r="C78">
        <v>29.59</v>
      </c>
      <c r="D78">
        <v>1</v>
      </c>
      <c r="E78" t="s">
        <v>19</v>
      </c>
      <c r="F78" t="s">
        <v>7</v>
      </c>
      <c r="G78">
        <v>3947.4131000000002</v>
      </c>
      <c r="H78">
        <v>134.1</v>
      </c>
      <c r="I78" t="s">
        <v>2</v>
      </c>
      <c r="J78" t="b">
        <v>0</v>
      </c>
      <c r="K78" t="s">
        <v>14</v>
      </c>
      <c r="L78">
        <v>33745</v>
      </c>
      <c r="M78" t="str" cm="1">
        <f t="array" ref="M78">_xlfn.IFS(A78&lt;30,"Young",A78&lt;=50,"Adult",A78&gt;50,"Senior")</f>
        <v>Young</v>
      </c>
    </row>
    <row r="79" spans="1:13" x14ac:dyDescent="0.3">
      <c r="A79">
        <v>21</v>
      </c>
      <c r="B79" t="s">
        <v>12</v>
      </c>
      <c r="C79">
        <v>35.53</v>
      </c>
      <c r="D79">
        <v>0</v>
      </c>
      <c r="E79" t="s">
        <v>19</v>
      </c>
      <c r="F79" t="s">
        <v>7</v>
      </c>
      <c r="G79">
        <v>1532.4697000000001</v>
      </c>
      <c r="H79">
        <v>124</v>
      </c>
      <c r="I79" t="s">
        <v>2</v>
      </c>
      <c r="J79" t="b">
        <v>1</v>
      </c>
      <c r="K79" t="s">
        <v>16</v>
      </c>
      <c r="L79">
        <v>116342.54</v>
      </c>
      <c r="M79" t="str" cm="1">
        <f t="array" ref="M79">_xlfn.IFS(A79&lt;30,"Young",A79&lt;=50,"Adult",A79&gt;50,"Senior")</f>
        <v>Young</v>
      </c>
    </row>
    <row r="80" spans="1:13" x14ac:dyDescent="0.3">
      <c r="A80">
        <v>22</v>
      </c>
      <c r="B80" t="s">
        <v>11</v>
      </c>
      <c r="C80">
        <v>39.805</v>
      </c>
      <c r="D80">
        <v>0</v>
      </c>
      <c r="E80" t="s">
        <v>19</v>
      </c>
      <c r="F80" t="s">
        <v>9</v>
      </c>
      <c r="G80">
        <v>2755.0209500000001</v>
      </c>
      <c r="H80">
        <v>128.69999999999999</v>
      </c>
      <c r="I80" t="s">
        <v>2</v>
      </c>
      <c r="J80" t="b">
        <v>0</v>
      </c>
      <c r="K80" t="s">
        <v>16</v>
      </c>
      <c r="L80">
        <v>137771.10999999999</v>
      </c>
      <c r="M80" t="str" cm="1">
        <f t="array" ref="M80">_xlfn.IFS(A80&lt;30,"Young",A80&lt;=50,"Adult",A80&gt;50,"Senior")</f>
        <v>Young</v>
      </c>
    </row>
    <row r="81" spans="1:13" x14ac:dyDescent="0.3">
      <c r="A81">
        <v>41</v>
      </c>
      <c r="B81" t="s">
        <v>11</v>
      </c>
      <c r="C81">
        <v>32.965000000000003</v>
      </c>
      <c r="D81">
        <v>0</v>
      </c>
      <c r="E81" t="s">
        <v>19</v>
      </c>
      <c r="F81" t="s">
        <v>8</v>
      </c>
      <c r="G81">
        <v>6571.0243499999997</v>
      </c>
      <c r="H81">
        <v>113.7</v>
      </c>
      <c r="I81" t="s">
        <v>3</v>
      </c>
      <c r="J81" t="b">
        <v>1</v>
      </c>
      <c r="K81" t="s">
        <v>15</v>
      </c>
      <c r="L81">
        <v>97598.23</v>
      </c>
      <c r="M81" t="str" cm="1">
        <f t="array" ref="M81">_xlfn.IFS(A81&lt;30,"Young",A81&lt;=50,"Adult",A81&gt;50,"Senior")</f>
        <v>Adult</v>
      </c>
    </row>
    <row r="82" spans="1:13" x14ac:dyDescent="0.3">
      <c r="A82">
        <v>31</v>
      </c>
      <c r="B82" t="s">
        <v>12</v>
      </c>
      <c r="C82">
        <v>26.885000000000002</v>
      </c>
      <c r="D82">
        <v>1</v>
      </c>
      <c r="E82" t="s">
        <v>19</v>
      </c>
      <c r="F82" t="s">
        <v>9</v>
      </c>
      <c r="G82">
        <v>4441.2131499999996</v>
      </c>
      <c r="H82">
        <v>128.4</v>
      </c>
      <c r="I82" t="s">
        <v>0</v>
      </c>
      <c r="J82" t="b">
        <v>1</v>
      </c>
      <c r="K82" t="s">
        <v>14</v>
      </c>
      <c r="L82">
        <v>54828.78</v>
      </c>
      <c r="M82" t="str" cm="1">
        <f t="array" ref="M82">_xlfn.IFS(A82&lt;30,"Young",A82&lt;=50,"Adult",A82&gt;50,"Senior")</f>
        <v>Adult</v>
      </c>
    </row>
    <row r="83" spans="1:13" x14ac:dyDescent="0.3">
      <c r="A83">
        <v>45</v>
      </c>
      <c r="B83" t="s">
        <v>11</v>
      </c>
      <c r="C83">
        <v>38.284999999999997</v>
      </c>
      <c r="D83">
        <v>0</v>
      </c>
      <c r="E83" t="s">
        <v>19</v>
      </c>
      <c r="F83" t="s">
        <v>9</v>
      </c>
      <c r="G83">
        <v>7935.29115</v>
      </c>
      <c r="H83">
        <v>121.4</v>
      </c>
      <c r="I83" t="s">
        <v>0</v>
      </c>
      <c r="J83" t="b">
        <v>0</v>
      </c>
      <c r="K83" t="s">
        <v>15</v>
      </c>
      <c r="L83">
        <v>86206.67</v>
      </c>
      <c r="M83" t="str" cm="1">
        <f t="array" ref="M83">_xlfn.IFS(A83&lt;30,"Young",A83&lt;=50,"Adult",A83&gt;50,"Senior")</f>
        <v>Adult</v>
      </c>
    </row>
    <row r="84" spans="1:13" x14ac:dyDescent="0.3">
      <c r="A84">
        <v>22</v>
      </c>
      <c r="B84" t="s">
        <v>12</v>
      </c>
      <c r="C84">
        <v>37.619999999999997</v>
      </c>
      <c r="D84">
        <v>1</v>
      </c>
      <c r="E84" t="s">
        <v>18</v>
      </c>
      <c r="F84" t="s">
        <v>7</v>
      </c>
      <c r="G84">
        <v>37165.163800000002</v>
      </c>
      <c r="H84">
        <v>139.6</v>
      </c>
      <c r="I84" t="s">
        <v>2</v>
      </c>
      <c r="J84" t="b">
        <v>0</v>
      </c>
      <c r="K84" t="s">
        <v>14</v>
      </c>
      <c r="L84">
        <v>41704.44</v>
      </c>
      <c r="M84" t="str" cm="1">
        <f t="array" ref="M84">_xlfn.IFS(A84&lt;30,"Young",A84&lt;=50,"Adult",A84&gt;50,"Senior")</f>
        <v>Young</v>
      </c>
    </row>
    <row r="85" spans="1:13" x14ac:dyDescent="0.3">
      <c r="A85">
        <v>48</v>
      </c>
      <c r="B85" t="s">
        <v>11</v>
      </c>
      <c r="C85">
        <v>41.23</v>
      </c>
      <c r="D85">
        <v>4</v>
      </c>
      <c r="E85" t="s">
        <v>19</v>
      </c>
      <c r="F85" t="s">
        <v>8</v>
      </c>
      <c r="G85">
        <v>11033.661700000001</v>
      </c>
      <c r="H85">
        <v>137.80000000000001</v>
      </c>
      <c r="I85" t="s">
        <v>2</v>
      </c>
      <c r="J85" t="b">
        <v>1</v>
      </c>
      <c r="K85" t="s">
        <v>15</v>
      </c>
      <c r="L85">
        <v>83077.56</v>
      </c>
      <c r="M85" t="str" cm="1">
        <f t="array" ref="M85">_xlfn.IFS(A85&lt;30,"Young",A85&lt;=50,"Adult",A85&gt;50,"Senior")</f>
        <v>Adult</v>
      </c>
    </row>
    <row r="86" spans="1:13" x14ac:dyDescent="0.3">
      <c r="A86">
        <v>37</v>
      </c>
      <c r="B86" t="s">
        <v>11</v>
      </c>
      <c r="C86">
        <v>34.799999999999997</v>
      </c>
      <c r="D86">
        <v>2</v>
      </c>
      <c r="E86" t="s">
        <v>18</v>
      </c>
      <c r="F86" t="s">
        <v>6</v>
      </c>
      <c r="G86">
        <v>39836.519</v>
      </c>
      <c r="H86">
        <v>123.7</v>
      </c>
      <c r="I86" t="s">
        <v>2</v>
      </c>
      <c r="J86" t="b">
        <v>0</v>
      </c>
      <c r="K86" t="s">
        <v>15</v>
      </c>
      <c r="L86">
        <v>129224.38</v>
      </c>
      <c r="M86" t="str" cm="1">
        <f t="array" ref="M86">_xlfn.IFS(A86&lt;30,"Young",A86&lt;=50,"Adult",A86&gt;50,"Senior")</f>
        <v>Adult</v>
      </c>
    </row>
    <row r="87" spans="1:13" x14ac:dyDescent="0.3">
      <c r="A87">
        <v>45</v>
      </c>
      <c r="B87" t="s">
        <v>12</v>
      </c>
      <c r="C87">
        <v>22.895</v>
      </c>
      <c r="D87">
        <v>2</v>
      </c>
      <c r="E87" t="s">
        <v>18</v>
      </c>
      <c r="F87" t="s">
        <v>8</v>
      </c>
      <c r="G87">
        <v>21098.554049999999</v>
      </c>
      <c r="H87">
        <v>130.69999999999999</v>
      </c>
      <c r="I87" t="s">
        <v>1</v>
      </c>
      <c r="J87" t="b">
        <v>1</v>
      </c>
      <c r="K87" t="s">
        <v>16</v>
      </c>
      <c r="L87">
        <v>181157.69</v>
      </c>
      <c r="M87" t="str" cm="1">
        <f t="array" ref="M87">_xlfn.IFS(A87&lt;30,"Young",A87&lt;=50,"Adult",A87&gt;50,"Senior")</f>
        <v>Adult</v>
      </c>
    </row>
    <row r="88" spans="1:13" x14ac:dyDescent="0.3">
      <c r="A88">
        <v>57</v>
      </c>
      <c r="B88" t="s">
        <v>11</v>
      </c>
      <c r="C88">
        <v>31.16</v>
      </c>
      <c r="D88">
        <v>0</v>
      </c>
      <c r="E88" t="s">
        <v>18</v>
      </c>
      <c r="F88" t="s">
        <v>8</v>
      </c>
      <c r="G88">
        <v>43578.939400000003</v>
      </c>
      <c r="H88">
        <v>125.3</v>
      </c>
      <c r="I88" t="s">
        <v>1</v>
      </c>
      <c r="J88" t="b">
        <v>1</v>
      </c>
      <c r="K88" t="s">
        <v>15</v>
      </c>
      <c r="L88">
        <v>33452.910000000003</v>
      </c>
      <c r="M88" t="str" cm="1">
        <f t="array" ref="M88">_xlfn.IFS(A88&lt;30,"Young",A88&lt;=50,"Adult",A88&gt;50,"Senior")</f>
        <v>Senior</v>
      </c>
    </row>
    <row r="89" spans="1:13" x14ac:dyDescent="0.3">
      <c r="A89">
        <v>56</v>
      </c>
      <c r="B89" t="s">
        <v>11</v>
      </c>
      <c r="C89">
        <v>27.2</v>
      </c>
      <c r="D89">
        <v>0</v>
      </c>
      <c r="E89" t="s">
        <v>19</v>
      </c>
      <c r="F89" t="s">
        <v>6</v>
      </c>
      <c r="G89">
        <v>11073.175999999999</v>
      </c>
      <c r="H89">
        <v>131.30000000000001</v>
      </c>
      <c r="I89" t="s">
        <v>1</v>
      </c>
      <c r="J89" t="b">
        <v>0</v>
      </c>
      <c r="K89" t="s">
        <v>14</v>
      </c>
      <c r="L89">
        <v>154623.26999999999</v>
      </c>
      <c r="M89" t="str" cm="1">
        <f t="array" ref="M89">_xlfn.IFS(A89&lt;30,"Young",A89&lt;=50,"Adult",A89&gt;50,"Senior")</f>
        <v>Senior</v>
      </c>
    </row>
    <row r="90" spans="1:13" x14ac:dyDescent="0.3">
      <c r="A90">
        <v>46</v>
      </c>
      <c r="B90" t="s">
        <v>11</v>
      </c>
      <c r="C90">
        <v>27.74</v>
      </c>
      <c r="D90">
        <v>0</v>
      </c>
      <c r="E90" t="s">
        <v>19</v>
      </c>
      <c r="F90" t="s">
        <v>8</v>
      </c>
      <c r="G90">
        <v>8026.6665999999996</v>
      </c>
      <c r="H90">
        <v>125.1</v>
      </c>
      <c r="I90" t="s">
        <v>3</v>
      </c>
      <c r="J90" t="b">
        <v>1</v>
      </c>
      <c r="K90" t="s">
        <v>15</v>
      </c>
      <c r="L90">
        <v>46512.71</v>
      </c>
      <c r="M90" t="str" cm="1">
        <f t="array" ref="M90">_xlfn.IFS(A90&lt;30,"Young",A90&lt;=50,"Adult",A90&gt;50,"Senior")</f>
        <v>Adult</v>
      </c>
    </row>
    <row r="91" spans="1:13" x14ac:dyDescent="0.3">
      <c r="A91">
        <v>55</v>
      </c>
      <c r="B91" t="s">
        <v>11</v>
      </c>
      <c r="C91">
        <v>26.98</v>
      </c>
      <c r="D91">
        <v>0</v>
      </c>
      <c r="E91" t="s">
        <v>19</v>
      </c>
      <c r="F91" t="s">
        <v>8</v>
      </c>
      <c r="G91">
        <v>11082.5772</v>
      </c>
      <c r="H91">
        <v>127.2</v>
      </c>
      <c r="I91" t="s">
        <v>3</v>
      </c>
      <c r="J91" t="b">
        <v>1</v>
      </c>
      <c r="K91" t="s">
        <v>14</v>
      </c>
      <c r="L91">
        <v>111682.19</v>
      </c>
      <c r="M91" t="str" cm="1">
        <f t="array" ref="M91">_xlfn.IFS(A91&lt;30,"Young",A91&lt;=50,"Adult",A91&gt;50,"Senior")</f>
        <v>Senior</v>
      </c>
    </row>
    <row r="92" spans="1:13" x14ac:dyDescent="0.3">
      <c r="A92">
        <v>21</v>
      </c>
      <c r="B92" t="s">
        <v>11</v>
      </c>
      <c r="C92">
        <v>39.49</v>
      </c>
      <c r="D92">
        <v>0</v>
      </c>
      <c r="E92" t="s">
        <v>19</v>
      </c>
      <c r="F92" t="s">
        <v>7</v>
      </c>
      <c r="G92">
        <v>2026.9740999999999</v>
      </c>
      <c r="H92">
        <v>125.3</v>
      </c>
      <c r="I92" t="s">
        <v>1</v>
      </c>
      <c r="J92" t="b">
        <v>1</v>
      </c>
      <c r="K92" t="s">
        <v>16</v>
      </c>
      <c r="L92">
        <v>149109.34</v>
      </c>
      <c r="M92" t="str" cm="1">
        <f t="array" ref="M92">_xlfn.IFS(A92&lt;30,"Young",A92&lt;=50,"Adult",A92&gt;50,"Senior")</f>
        <v>Young</v>
      </c>
    </row>
    <row r="93" spans="1:13" x14ac:dyDescent="0.3">
      <c r="A93">
        <v>53</v>
      </c>
      <c r="B93" t="s">
        <v>11</v>
      </c>
      <c r="C93">
        <v>24.795000000000002</v>
      </c>
      <c r="D93">
        <v>1</v>
      </c>
      <c r="E93" t="s">
        <v>19</v>
      </c>
      <c r="F93" t="s">
        <v>8</v>
      </c>
      <c r="G93">
        <v>10942.13205</v>
      </c>
      <c r="H93">
        <v>112.8</v>
      </c>
      <c r="I93" t="s">
        <v>2</v>
      </c>
      <c r="J93" t="b">
        <v>1</v>
      </c>
      <c r="K93" t="s">
        <v>16</v>
      </c>
      <c r="L93">
        <v>67314.960000000006</v>
      </c>
      <c r="M93" t="str" cm="1">
        <f t="array" ref="M93">_xlfn.IFS(A93&lt;30,"Young",A93&lt;=50,"Adult",A93&gt;50,"Senior")</f>
        <v>Senior</v>
      </c>
    </row>
    <row r="94" spans="1:13" x14ac:dyDescent="0.3">
      <c r="A94">
        <v>59</v>
      </c>
      <c r="B94" t="s">
        <v>12</v>
      </c>
      <c r="C94">
        <v>29.83</v>
      </c>
      <c r="D94">
        <v>3</v>
      </c>
      <c r="E94" t="s">
        <v>18</v>
      </c>
      <c r="F94" t="s">
        <v>9</v>
      </c>
      <c r="G94">
        <v>30184.936699999998</v>
      </c>
      <c r="H94">
        <v>110.8</v>
      </c>
      <c r="I94" t="s">
        <v>1</v>
      </c>
      <c r="J94" t="b">
        <v>1</v>
      </c>
      <c r="K94" t="s">
        <v>16</v>
      </c>
      <c r="L94">
        <v>58809.24</v>
      </c>
      <c r="M94" t="str" cm="1">
        <f t="array" ref="M94">_xlfn.IFS(A94&lt;30,"Young",A94&lt;=50,"Adult",A94&gt;50,"Senior")</f>
        <v>Senior</v>
      </c>
    </row>
    <row r="95" spans="1:13" x14ac:dyDescent="0.3">
      <c r="A95">
        <v>35</v>
      </c>
      <c r="B95" t="s">
        <v>12</v>
      </c>
      <c r="C95">
        <v>34.770000000000003</v>
      </c>
      <c r="D95">
        <v>2</v>
      </c>
      <c r="E95" t="s">
        <v>19</v>
      </c>
      <c r="F95" t="s">
        <v>8</v>
      </c>
      <c r="G95">
        <v>5729.0052999999998</v>
      </c>
      <c r="H95">
        <v>133</v>
      </c>
      <c r="I95" t="s">
        <v>0</v>
      </c>
      <c r="J95" t="b">
        <v>1</v>
      </c>
      <c r="K95" t="s">
        <v>16</v>
      </c>
      <c r="L95">
        <v>128027.34</v>
      </c>
      <c r="M95" t="str" cm="1">
        <f t="array" ref="M95">_xlfn.IFS(A95&lt;30,"Young",A95&lt;=50,"Adult",A95&gt;50,"Senior")</f>
        <v>Adult</v>
      </c>
    </row>
    <row r="96" spans="1:13" x14ac:dyDescent="0.3">
      <c r="A96">
        <v>64</v>
      </c>
      <c r="B96" t="s">
        <v>11</v>
      </c>
      <c r="C96">
        <v>31.3</v>
      </c>
      <c r="D96">
        <v>2</v>
      </c>
      <c r="E96" t="s">
        <v>18</v>
      </c>
      <c r="F96" t="s">
        <v>6</v>
      </c>
      <c r="G96">
        <v>47291.055</v>
      </c>
      <c r="H96">
        <v>136.69999999999999</v>
      </c>
      <c r="I96" t="s">
        <v>0</v>
      </c>
      <c r="J96" t="b">
        <v>1</v>
      </c>
      <c r="K96" t="s">
        <v>15</v>
      </c>
      <c r="L96">
        <v>76557.34</v>
      </c>
      <c r="M96" t="str" cm="1">
        <f t="array" ref="M96">_xlfn.IFS(A96&lt;30,"Young",A96&lt;=50,"Adult",A96&gt;50,"Senior")</f>
        <v>Senior</v>
      </c>
    </row>
    <row r="97" spans="1:13" x14ac:dyDescent="0.3">
      <c r="A97">
        <v>28</v>
      </c>
      <c r="B97" t="s">
        <v>11</v>
      </c>
      <c r="C97">
        <v>37.619999999999997</v>
      </c>
      <c r="D97">
        <v>1</v>
      </c>
      <c r="E97" t="s">
        <v>19</v>
      </c>
      <c r="F97" t="s">
        <v>7</v>
      </c>
      <c r="G97">
        <v>3766.8838000000001</v>
      </c>
      <c r="H97">
        <v>120.7</v>
      </c>
      <c r="I97" t="s">
        <v>3</v>
      </c>
      <c r="J97" t="b">
        <v>1</v>
      </c>
      <c r="K97" t="s">
        <v>16</v>
      </c>
      <c r="L97">
        <v>190367.06</v>
      </c>
      <c r="M97" t="str" cm="1">
        <f t="array" ref="M97">_xlfn.IFS(A97&lt;30,"Young",A97&lt;=50,"Adult",A97&gt;50,"Senior")</f>
        <v>Young</v>
      </c>
    </row>
    <row r="98" spans="1:13" x14ac:dyDescent="0.3">
      <c r="A98">
        <v>54</v>
      </c>
      <c r="B98" t="s">
        <v>11</v>
      </c>
      <c r="C98">
        <v>30.8</v>
      </c>
      <c r="D98">
        <v>3</v>
      </c>
      <c r="E98" t="s">
        <v>19</v>
      </c>
      <c r="F98" t="s">
        <v>6</v>
      </c>
      <c r="G98">
        <v>12105.32</v>
      </c>
      <c r="H98">
        <v>117.1</v>
      </c>
      <c r="I98" t="s">
        <v>3</v>
      </c>
      <c r="J98" t="b">
        <v>1</v>
      </c>
      <c r="K98" t="s">
        <v>14</v>
      </c>
      <c r="L98">
        <v>43109.73</v>
      </c>
      <c r="M98" t="str" cm="1">
        <f t="array" ref="M98">_xlfn.IFS(A98&lt;30,"Young",A98&lt;=50,"Adult",A98&gt;50,"Senior")</f>
        <v>Senior</v>
      </c>
    </row>
    <row r="99" spans="1:13" x14ac:dyDescent="0.3">
      <c r="A99">
        <v>55</v>
      </c>
      <c r="B99" t="s">
        <v>12</v>
      </c>
      <c r="C99">
        <v>38.28</v>
      </c>
      <c r="D99">
        <v>0</v>
      </c>
      <c r="E99" t="s">
        <v>19</v>
      </c>
      <c r="F99" t="s">
        <v>7</v>
      </c>
      <c r="G99">
        <v>10226.2842</v>
      </c>
      <c r="H99">
        <v>115.2</v>
      </c>
      <c r="I99" t="s">
        <v>3</v>
      </c>
      <c r="J99" t="b">
        <v>0</v>
      </c>
      <c r="K99" t="s">
        <v>16</v>
      </c>
      <c r="L99">
        <v>104450.31</v>
      </c>
      <c r="M99" t="str" cm="1">
        <f t="array" ref="M99">_xlfn.IFS(A99&lt;30,"Young",A99&lt;=50,"Adult",A99&gt;50,"Senior")</f>
        <v>Senior</v>
      </c>
    </row>
    <row r="100" spans="1:13" x14ac:dyDescent="0.3">
      <c r="A100">
        <v>56</v>
      </c>
      <c r="B100" t="s">
        <v>12</v>
      </c>
      <c r="C100">
        <v>19.95</v>
      </c>
      <c r="D100">
        <v>0</v>
      </c>
      <c r="E100" t="s">
        <v>18</v>
      </c>
      <c r="F100" t="s">
        <v>9</v>
      </c>
      <c r="G100">
        <v>22412.648499999999</v>
      </c>
      <c r="H100">
        <v>126.7</v>
      </c>
      <c r="I100" t="s">
        <v>2</v>
      </c>
      <c r="J100" t="b">
        <v>0</v>
      </c>
      <c r="K100" t="s">
        <v>14</v>
      </c>
      <c r="L100">
        <v>166117.31</v>
      </c>
      <c r="M100" t="str" cm="1">
        <f t="array" ref="M100">_xlfn.IFS(A100&lt;30,"Young",A100&lt;=50,"Adult",A100&gt;50,"Senior")</f>
        <v>Senior</v>
      </c>
    </row>
    <row r="101" spans="1:13" x14ac:dyDescent="0.3">
      <c r="A101">
        <v>38</v>
      </c>
      <c r="B101" t="s">
        <v>12</v>
      </c>
      <c r="C101">
        <v>19.3</v>
      </c>
      <c r="D101">
        <v>0</v>
      </c>
      <c r="E101" t="s">
        <v>18</v>
      </c>
      <c r="F101" t="s">
        <v>6</v>
      </c>
      <c r="G101">
        <v>15820.699000000001</v>
      </c>
      <c r="H101">
        <v>135.80000000000001</v>
      </c>
      <c r="I101" t="s">
        <v>1</v>
      </c>
      <c r="J101" t="b">
        <v>1</v>
      </c>
      <c r="K101" t="s">
        <v>14</v>
      </c>
      <c r="L101">
        <v>43642.21</v>
      </c>
      <c r="M101" t="str" cm="1">
        <f t="array" ref="M101">_xlfn.IFS(A101&lt;30,"Young",A101&lt;=50,"Adult",A101&gt;50,"Senior")</f>
        <v>Adult</v>
      </c>
    </row>
    <row r="102" spans="1:13" x14ac:dyDescent="0.3">
      <c r="A102">
        <v>41</v>
      </c>
      <c r="B102" t="s">
        <v>11</v>
      </c>
      <c r="C102">
        <v>31.6</v>
      </c>
      <c r="D102">
        <v>0</v>
      </c>
      <c r="E102" t="s">
        <v>19</v>
      </c>
      <c r="F102" t="s">
        <v>6</v>
      </c>
      <c r="G102">
        <v>6186.1270000000004</v>
      </c>
      <c r="H102">
        <v>118.8</v>
      </c>
      <c r="I102" t="s">
        <v>2</v>
      </c>
      <c r="J102" t="b">
        <v>0</v>
      </c>
      <c r="K102" t="s">
        <v>15</v>
      </c>
      <c r="L102">
        <v>130241.21</v>
      </c>
      <c r="M102" t="str" cm="1">
        <f t="array" ref="M102">_xlfn.IFS(A102&lt;30,"Young",A102&lt;=50,"Adult",A102&gt;50,"Senior")</f>
        <v>Adult</v>
      </c>
    </row>
    <row r="103" spans="1:13" x14ac:dyDescent="0.3">
      <c r="A103">
        <v>30</v>
      </c>
      <c r="B103" t="s">
        <v>12</v>
      </c>
      <c r="C103">
        <v>25.46</v>
      </c>
      <c r="D103">
        <v>0</v>
      </c>
      <c r="E103" t="s">
        <v>19</v>
      </c>
      <c r="F103" t="s">
        <v>9</v>
      </c>
      <c r="G103">
        <v>3645.0893999999998</v>
      </c>
      <c r="H103">
        <v>131.6</v>
      </c>
      <c r="I103" t="s">
        <v>3</v>
      </c>
      <c r="J103" t="b">
        <v>0</v>
      </c>
      <c r="K103" t="s">
        <v>16</v>
      </c>
      <c r="L103">
        <v>108536.63</v>
      </c>
      <c r="M103" t="str" cm="1">
        <f t="array" ref="M103">_xlfn.IFS(A103&lt;30,"Young",A103&lt;=50,"Adult",A103&gt;50,"Senior")</f>
        <v>Adult</v>
      </c>
    </row>
    <row r="104" spans="1:13" x14ac:dyDescent="0.3">
      <c r="A104">
        <v>18</v>
      </c>
      <c r="B104" t="s">
        <v>11</v>
      </c>
      <c r="C104">
        <v>30.114999999999998</v>
      </c>
      <c r="D104">
        <v>0</v>
      </c>
      <c r="E104" t="s">
        <v>19</v>
      </c>
      <c r="F104" t="s">
        <v>9</v>
      </c>
      <c r="G104">
        <v>21344.846699999998</v>
      </c>
      <c r="H104">
        <v>125.1</v>
      </c>
      <c r="I104" t="s">
        <v>0</v>
      </c>
      <c r="J104" t="b">
        <v>1</v>
      </c>
      <c r="K104" t="s">
        <v>16</v>
      </c>
      <c r="L104">
        <v>151356.98000000001</v>
      </c>
      <c r="M104" t="str" cm="1">
        <f t="array" ref="M104">_xlfn.IFS(A104&lt;30,"Young",A104&lt;=50,"Adult",A104&gt;50,"Senior")</f>
        <v>Young</v>
      </c>
    </row>
    <row r="105" spans="1:13" x14ac:dyDescent="0.3">
      <c r="A105">
        <v>61</v>
      </c>
      <c r="B105" t="s">
        <v>11</v>
      </c>
      <c r="C105">
        <v>29.92</v>
      </c>
      <c r="D105">
        <v>3</v>
      </c>
      <c r="E105" t="s">
        <v>18</v>
      </c>
      <c r="F105" t="s">
        <v>7</v>
      </c>
      <c r="G105">
        <v>30942.191800000001</v>
      </c>
      <c r="H105">
        <v>133.19999999999999</v>
      </c>
      <c r="I105" t="s">
        <v>1</v>
      </c>
      <c r="J105" t="b">
        <v>0</v>
      </c>
      <c r="K105" t="s">
        <v>16</v>
      </c>
      <c r="L105">
        <v>76679.66</v>
      </c>
      <c r="M105" t="str" cm="1">
        <f t="array" ref="M105">_xlfn.IFS(A105&lt;30,"Young",A105&lt;=50,"Adult",A105&gt;50,"Senior")</f>
        <v>Senior</v>
      </c>
    </row>
    <row r="106" spans="1:13" x14ac:dyDescent="0.3">
      <c r="A106">
        <v>34</v>
      </c>
      <c r="B106" t="s">
        <v>11</v>
      </c>
      <c r="C106">
        <v>27.5</v>
      </c>
      <c r="D106">
        <v>1</v>
      </c>
      <c r="E106" t="s">
        <v>19</v>
      </c>
      <c r="F106" t="s">
        <v>6</v>
      </c>
      <c r="G106">
        <v>5003.8530000000001</v>
      </c>
      <c r="H106">
        <v>125.2</v>
      </c>
      <c r="I106" t="s">
        <v>1</v>
      </c>
      <c r="J106" t="b">
        <v>1</v>
      </c>
      <c r="K106" t="s">
        <v>16</v>
      </c>
      <c r="L106">
        <v>71500.11</v>
      </c>
      <c r="M106" t="str" cm="1">
        <f t="array" ref="M106">_xlfn.IFS(A106&lt;30,"Young",A106&lt;=50,"Adult",A106&gt;50,"Senior")</f>
        <v>Adult</v>
      </c>
    </row>
    <row r="107" spans="1:13" x14ac:dyDescent="0.3">
      <c r="A107">
        <v>20</v>
      </c>
      <c r="B107" t="s">
        <v>12</v>
      </c>
      <c r="C107">
        <v>28.024999999999999</v>
      </c>
      <c r="D107">
        <v>1</v>
      </c>
      <c r="E107" t="s">
        <v>18</v>
      </c>
      <c r="F107" t="s">
        <v>8</v>
      </c>
      <c r="G107">
        <v>17560.37975</v>
      </c>
      <c r="H107">
        <v>123.3</v>
      </c>
      <c r="I107" t="s">
        <v>1</v>
      </c>
      <c r="J107" t="b">
        <v>0</v>
      </c>
      <c r="K107" t="s">
        <v>15</v>
      </c>
      <c r="L107">
        <v>147738.66</v>
      </c>
      <c r="M107" t="str" cm="1">
        <f t="array" ref="M107">_xlfn.IFS(A107&lt;30,"Young",A107&lt;=50,"Adult",A107&gt;50,"Senior")</f>
        <v>Young</v>
      </c>
    </row>
    <row r="108" spans="1:13" x14ac:dyDescent="0.3">
      <c r="A108">
        <v>19</v>
      </c>
      <c r="B108" t="s">
        <v>11</v>
      </c>
      <c r="C108">
        <v>28.4</v>
      </c>
      <c r="D108">
        <v>1</v>
      </c>
      <c r="E108" t="s">
        <v>19</v>
      </c>
      <c r="F108" t="s">
        <v>6</v>
      </c>
      <c r="G108">
        <v>2331.5189999999998</v>
      </c>
      <c r="H108">
        <v>111.2</v>
      </c>
      <c r="I108" t="s">
        <v>0</v>
      </c>
      <c r="J108" t="b">
        <v>1</v>
      </c>
      <c r="K108" t="s">
        <v>14</v>
      </c>
      <c r="L108">
        <v>177615.09</v>
      </c>
      <c r="M108" t="str" cm="1">
        <f t="array" ref="M108">_xlfn.IFS(A108&lt;30,"Young",A108&lt;=50,"Adult",A108&gt;50,"Senior")</f>
        <v>Young</v>
      </c>
    </row>
    <row r="109" spans="1:13" x14ac:dyDescent="0.3">
      <c r="A109">
        <v>26</v>
      </c>
      <c r="B109" t="s">
        <v>12</v>
      </c>
      <c r="C109">
        <v>30.875</v>
      </c>
      <c r="D109">
        <v>2</v>
      </c>
      <c r="E109" t="s">
        <v>19</v>
      </c>
      <c r="F109" t="s">
        <v>8</v>
      </c>
      <c r="G109">
        <v>3877.3042500000001</v>
      </c>
      <c r="H109">
        <v>136.5</v>
      </c>
      <c r="I109" t="s">
        <v>0</v>
      </c>
      <c r="J109" t="b">
        <v>1</v>
      </c>
      <c r="K109" t="s">
        <v>14</v>
      </c>
      <c r="L109">
        <v>113999.73</v>
      </c>
      <c r="M109" t="str" cm="1">
        <f t="array" ref="M109">_xlfn.IFS(A109&lt;30,"Young",A109&lt;=50,"Adult",A109&gt;50,"Senior")</f>
        <v>Young</v>
      </c>
    </row>
    <row r="110" spans="1:13" x14ac:dyDescent="0.3">
      <c r="A110">
        <v>29</v>
      </c>
      <c r="B110" t="s">
        <v>12</v>
      </c>
      <c r="C110">
        <v>27.94</v>
      </c>
      <c r="D110">
        <v>0</v>
      </c>
      <c r="E110" t="s">
        <v>19</v>
      </c>
      <c r="F110" t="s">
        <v>7</v>
      </c>
      <c r="G110">
        <v>2867.1196</v>
      </c>
      <c r="H110">
        <v>129.69999999999999</v>
      </c>
      <c r="I110" t="s">
        <v>2</v>
      </c>
      <c r="J110" t="b">
        <v>1</v>
      </c>
      <c r="K110" t="s">
        <v>16</v>
      </c>
      <c r="L110">
        <v>177022.37</v>
      </c>
      <c r="M110" t="str" cm="1">
        <f t="array" ref="M110">_xlfn.IFS(A110&lt;30,"Young",A110&lt;=50,"Adult",A110&gt;50,"Senior")</f>
        <v>Young</v>
      </c>
    </row>
    <row r="111" spans="1:13" x14ac:dyDescent="0.3">
      <c r="A111">
        <v>63</v>
      </c>
      <c r="B111" t="s">
        <v>12</v>
      </c>
      <c r="C111">
        <v>35.090000000000003</v>
      </c>
      <c r="D111">
        <v>0</v>
      </c>
      <c r="E111" t="s">
        <v>18</v>
      </c>
      <c r="F111" t="s">
        <v>7</v>
      </c>
      <c r="G111">
        <v>47055.532099999997</v>
      </c>
      <c r="H111">
        <v>115.1</v>
      </c>
      <c r="I111" t="s">
        <v>3</v>
      </c>
      <c r="J111" t="b">
        <v>1</v>
      </c>
      <c r="K111" t="s">
        <v>15</v>
      </c>
      <c r="L111">
        <v>153766.62</v>
      </c>
      <c r="M111" t="str" cm="1">
        <f t="array" ref="M111">_xlfn.IFS(A111&lt;30,"Young",A111&lt;=50,"Adult",A111&gt;50,"Senior")</f>
        <v>Senior</v>
      </c>
    </row>
    <row r="112" spans="1:13" x14ac:dyDescent="0.3">
      <c r="A112">
        <v>54</v>
      </c>
      <c r="B112" t="s">
        <v>12</v>
      </c>
      <c r="C112">
        <v>33.630000000000003</v>
      </c>
      <c r="D112">
        <v>1</v>
      </c>
      <c r="E112" t="s">
        <v>19</v>
      </c>
      <c r="F112" t="s">
        <v>8</v>
      </c>
      <c r="G112">
        <v>10825.253699999999</v>
      </c>
      <c r="H112">
        <v>116.9</v>
      </c>
      <c r="I112" t="s">
        <v>0</v>
      </c>
      <c r="J112" t="b">
        <v>1</v>
      </c>
      <c r="K112" t="s">
        <v>14</v>
      </c>
      <c r="L112">
        <v>153856.69</v>
      </c>
      <c r="M112" t="str" cm="1">
        <f t="array" ref="M112">_xlfn.IFS(A112&lt;30,"Young",A112&lt;=50,"Adult",A112&gt;50,"Senior")</f>
        <v>Senior</v>
      </c>
    </row>
    <row r="113" spans="1:13" x14ac:dyDescent="0.3">
      <c r="A113">
        <v>55</v>
      </c>
      <c r="B113" t="s">
        <v>11</v>
      </c>
      <c r="C113">
        <v>29.7</v>
      </c>
      <c r="D113">
        <v>2</v>
      </c>
      <c r="E113" t="s">
        <v>19</v>
      </c>
      <c r="F113" t="s">
        <v>6</v>
      </c>
      <c r="G113">
        <v>11881.358</v>
      </c>
      <c r="H113">
        <v>129.19999999999999</v>
      </c>
      <c r="I113" t="s">
        <v>2</v>
      </c>
      <c r="J113" t="b">
        <v>0</v>
      </c>
      <c r="K113" t="s">
        <v>15</v>
      </c>
      <c r="L113">
        <v>90017.54</v>
      </c>
      <c r="M113" t="str" cm="1">
        <f t="array" ref="M113">_xlfn.IFS(A113&lt;30,"Young",A113&lt;=50,"Adult",A113&gt;50,"Senior")</f>
        <v>Senior</v>
      </c>
    </row>
    <row r="114" spans="1:13" x14ac:dyDescent="0.3">
      <c r="A114">
        <v>37</v>
      </c>
      <c r="B114" t="s">
        <v>12</v>
      </c>
      <c r="C114">
        <v>30.8</v>
      </c>
      <c r="D114">
        <v>0</v>
      </c>
      <c r="E114" t="s">
        <v>19</v>
      </c>
      <c r="F114" t="s">
        <v>6</v>
      </c>
      <c r="G114">
        <v>4646.759</v>
      </c>
      <c r="H114">
        <v>117.8</v>
      </c>
      <c r="I114" t="s">
        <v>3</v>
      </c>
      <c r="J114" t="b">
        <v>0</v>
      </c>
      <c r="K114" t="s">
        <v>16</v>
      </c>
      <c r="L114">
        <v>94276.08</v>
      </c>
      <c r="M114" t="str" cm="1">
        <f t="array" ref="M114">_xlfn.IFS(A114&lt;30,"Young",A114&lt;=50,"Adult",A114&gt;50,"Senior")</f>
        <v>Adult</v>
      </c>
    </row>
    <row r="115" spans="1:13" x14ac:dyDescent="0.3">
      <c r="A115">
        <v>21</v>
      </c>
      <c r="B115" t="s">
        <v>11</v>
      </c>
      <c r="C115">
        <v>35.72</v>
      </c>
      <c r="D115">
        <v>0</v>
      </c>
      <c r="E115" t="s">
        <v>19</v>
      </c>
      <c r="F115" t="s">
        <v>8</v>
      </c>
      <c r="G115">
        <v>2404.7338</v>
      </c>
      <c r="H115">
        <v>136</v>
      </c>
      <c r="I115" t="s">
        <v>1</v>
      </c>
      <c r="J115" t="b">
        <v>0</v>
      </c>
      <c r="K115" t="s">
        <v>14</v>
      </c>
      <c r="L115">
        <v>140434.41</v>
      </c>
      <c r="M115" t="str" cm="1">
        <f t="array" ref="M115">_xlfn.IFS(A115&lt;30,"Young",A115&lt;=50,"Adult",A115&gt;50,"Senior")</f>
        <v>Young</v>
      </c>
    </row>
    <row r="116" spans="1:13" x14ac:dyDescent="0.3">
      <c r="A116">
        <v>52</v>
      </c>
      <c r="B116" t="s">
        <v>12</v>
      </c>
      <c r="C116">
        <v>32.204999999999998</v>
      </c>
      <c r="D116">
        <v>3</v>
      </c>
      <c r="E116" t="s">
        <v>19</v>
      </c>
      <c r="F116" t="s">
        <v>9</v>
      </c>
      <c r="G116">
        <v>11488.31695</v>
      </c>
      <c r="H116">
        <v>134.80000000000001</v>
      </c>
      <c r="I116" t="s">
        <v>1</v>
      </c>
      <c r="J116" t="b">
        <v>0</v>
      </c>
      <c r="K116" t="s">
        <v>15</v>
      </c>
      <c r="L116">
        <v>112710.3</v>
      </c>
      <c r="M116" t="str" cm="1">
        <f t="array" ref="M116">_xlfn.IFS(A116&lt;30,"Young",A116&lt;=50,"Adult",A116&gt;50,"Senior")</f>
        <v>Senior</v>
      </c>
    </row>
    <row r="117" spans="1:13" x14ac:dyDescent="0.3">
      <c r="A117">
        <v>60</v>
      </c>
      <c r="B117" t="s">
        <v>12</v>
      </c>
      <c r="C117">
        <v>28.594999999999999</v>
      </c>
      <c r="D117">
        <v>0</v>
      </c>
      <c r="E117" t="s">
        <v>19</v>
      </c>
      <c r="F117" t="s">
        <v>9</v>
      </c>
      <c r="G117">
        <v>30259.995559999999</v>
      </c>
      <c r="H117">
        <v>136.4</v>
      </c>
      <c r="I117" t="s">
        <v>3</v>
      </c>
      <c r="J117" t="b">
        <v>0</v>
      </c>
      <c r="K117" t="s">
        <v>14</v>
      </c>
      <c r="L117">
        <v>92961.8</v>
      </c>
      <c r="M117" t="str" cm="1">
        <f t="array" ref="M117">_xlfn.IFS(A117&lt;30,"Young",A117&lt;=50,"Adult",A117&gt;50,"Senior")</f>
        <v>Senior</v>
      </c>
    </row>
    <row r="118" spans="1:13" x14ac:dyDescent="0.3">
      <c r="A118">
        <v>58</v>
      </c>
      <c r="B118" t="s">
        <v>12</v>
      </c>
      <c r="C118">
        <v>49.06</v>
      </c>
      <c r="D118">
        <v>0</v>
      </c>
      <c r="E118" t="s">
        <v>19</v>
      </c>
      <c r="F118" t="s">
        <v>7</v>
      </c>
      <c r="G118">
        <v>11381.3254</v>
      </c>
      <c r="H118">
        <v>115</v>
      </c>
      <c r="I118" t="s">
        <v>0</v>
      </c>
      <c r="J118" t="b">
        <v>1</v>
      </c>
      <c r="K118" t="s">
        <v>16</v>
      </c>
      <c r="L118">
        <v>45773.1</v>
      </c>
      <c r="M118" t="str" cm="1">
        <f t="array" ref="M118">_xlfn.IFS(A118&lt;30,"Young",A118&lt;=50,"Adult",A118&gt;50,"Senior")</f>
        <v>Senior</v>
      </c>
    </row>
    <row r="119" spans="1:13" x14ac:dyDescent="0.3">
      <c r="A119">
        <v>29</v>
      </c>
      <c r="B119" t="s">
        <v>11</v>
      </c>
      <c r="C119">
        <v>27.94</v>
      </c>
      <c r="D119">
        <v>1</v>
      </c>
      <c r="E119" t="s">
        <v>18</v>
      </c>
      <c r="F119" t="s">
        <v>7</v>
      </c>
      <c r="G119">
        <v>19107.779600000002</v>
      </c>
      <c r="H119">
        <v>115.6</v>
      </c>
      <c r="I119" t="s">
        <v>1</v>
      </c>
      <c r="J119" t="b">
        <v>1</v>
      </c>
      <c r="K119" t="s">
        <v>14</v>
      </c>
      <c r="L119">
        <v>70285.38</v>
      </c>
      <c r="M119" t="str" cm="1">
        <f t="array" ref="M119">_xlfn.IFS(A119&lt;30,"Young",A119&lt;=50,"Adult",A119&gt;50,"Senior")</f>
        <v>Young</v>
      </c>
    </row>
    <row r="120" spans="1:13" x14ac:dyDescent="0.3">
      <c r="A120">
        <v>49</v>
      </c>
      <c r="B120" t="s">
        <v>11</v>
      </c>
      <c r="C120">
        <v>27.17</v>
      </c>
      <c r="D120">
        <v>0</v>
      </c>
      <c r="E120" t="s">
        <v>19</v>
      </c>
      <c r="F120" t="s">
        <v>7</v>
      </c>
      <c r="G120">
        <v>8601.3292999999994</v>
      </c>
      <c r="H120">
        <v>132.5</v>
      </c>
      <c r="I120" t="s">
        <v>0</v>
      </c>
      <c r="J120" t="b">
        <v>0</v>
      </c>
      <c r="K120" t="s">
        <v>16</v>
      </c>
      <c r="L120">
        <v>179626.66</v>
      </c>
      <c r="M120" t="str" cm="1">
        <f t="array" ref="M120">_xlfn.IFS(A120&lt;30,"Young",A120&lt;=50,"Adult",A120&gt;50,"Senior")</f>
        <v>Adult</v>
      </c>
    </row>
    <row r="121" spans="1:13" x14ac:dyDescent="0.3">
      <c r="A121">
        <v>37</v>
      </c>
      <c r="B121" t="s">
        <v>11</v>
      </c>
      <c r="C121">
        <v>23.37</v>
      </c>
      <c r="D121">
        <v>2</v>
      </c>
      <c r="E121" t="s">
        <v>19</v>
      </c>
      <c r="F121" t="s">
        <v>8</v>
      </c>
      <c r="G121">
        <v>6686.4313000000002</v>
      </c>
      <c r="H121">
        <v>112.9</v>
      </c>
      <c r="I121" t="s">
        <v>0</v>
      </c>
      <c r="J121" t="b">
        <v>1</v>
      </c>
      <c r="K121" t="s">
        <v>14</v>
      </c>
      <c r="L121">
        <v>39010.79</v>
      </c>
      <c r="M121" t="str" cm="1">
        <f t="array" ref="M121">_xlfn.IFS(A121&lt;30,"Young",A121&lt;=50,"Adult",A121&gt;50,"Senior")</f>
        <v>Adult</v>
      </c>
    </row>
    <row r="122" spans="1:13" x14ac:dyDescent="0.3">
      <c r="A122">
        <v>44</v>
      </c>
      <c r="B122" t="s">
        <v>12</v>
      </c>
      <c r="C122">
        <v>37.1</v>
      </c>
      <c r="D122">
        <v>2</v>
      </c>
      <c r="E122" t="s">
        <v>19</v>
      </c>
      <c r="F122" t="s">
        <v>6</v>
      </c>
      <c r="G122">
        <v>7740.3370000000004</v>
      </c>
      <c r="H122">
        <v>127</v>
      </c>
      <c r="I122" t="s">
        <v>3</v>
      </c>
      <c r="J122" t="b">
        <v>0</v>
      </c>
      <c r="K122" t="s">
        <v>15</v>
      </c>
      <c r="L122">
        <v>63175.83</v>
      </c>
      <c r="M122" t="str" cm="1">
        <f t="array" ref="M122">_xlfn.IFS(A122&lt;30,"Young",A122&lt;=50,"Adult",A122&gt;50,"Senior")</f>
        <v>Adult</v>
      </c>
    </row>
    <row r="123" spans="1:13" x14ac:dyDescent="0.3">
      <c r="A123">
        <v>18</v>
      </c>
      <c r="B123" t="s">
        <v>12</v>
      </c>
      <c r="C123">
        <v>23.75</v>
      </c>
      <c r="D123">
        <v>0</v>
      </c>
      <c r="E123" t="s">
        <v>19</v>
      </c>
      <c r="F123" t="s">
        <v>9</v>
      </c>
      <c r="G123">
        <v>1705.6244999999999</v>
      </c>
      <c r="H123">
        <v>137.69999999999999</v>
      </c>
      <c r="I123" t="s">
        <v>1</v>
      </c>
      <c r="J123" t="b">
        <v>1</v>
      </c>
      <c r="K123" t="s">
        <v>15</v>
      </c>
      <c r="L123">
        <v>88925.62</v>
      </c>
      <c r="M123" t="str" cm="1">
        <f t="array" ref="M123">_xlfn.IFS(A123&lt;30,"Young",A123&lt;=50,"Adult",A123&gt;50,"Senior")</f>
        <v>Young</v>
      </c>
    </row>
    <row r="124" spans="1:13" x14ac:dyDescent="0.3">
      <c r="A124">
        <v>20</v>
      </c>
      <c r="B124" t="s">
        <v>11</v>
      </c>
      <c r="C124">
        <v>28.975000000000001</v>
      </c>
      <c r="D124">
        <v>0</v>
      </c>
      <c r="E124" t="s">
        <v>19</v>
      </c>
      <c r="F124" t="s">
        <v>8</v>
      </c>
      <c r="G124">
        <v>2257.47525</v>
      </c>
      <c r="H124">
        <v>131.69999999999999</v>
      </c>
      <c r="I124" t="s">
        <v>2</v>
      </c>
      <c r="J124" t="b">
        <v>0</v>
      </c>
      <c r="K124" t="s">
        <v>16</v>
      </c>
      <c r="L124">
        <v>61413.22</v>
      </c>
      <c r="M124" t="str" cm="1">
        <f t="array" ref="M124">_xlfn.IFS(A124&lt;30,"Young",A124&lt;=50,"Adult",A124&gt;50,"Senior")</f>
        <v>Young</v>
      </c>
    </row>
    <row r="125" spans="1:13" x14ac:dyDescent="0.3">
      <c r="A125">
        <v>44</v>
      </c>
      <c r="B125" t="s">
        <v>12</v>
      </c>
      <c r="C125">
        <v>31.35</v>
      </c>
      <c r="D125">
        <v>1</v>
      </c>
      <c r="E125" t="s">
        <v>18</v>
      </c>
      <c r="F125" t="s">
        <v>9</v>
      </c>
      <c r="G125">
        <v>39556.494500000001</v>
      </c>
      <c r="H125">
        <v>139.80000000000001</v>
      </c>
      <c r="I125" t="s">
        <v>2</v>
      </c>
      <c r="J125" t="b">
        <v>1</v>
      </c>
      <c r="K125" t="s">
        <v>16</v>
      </c>
      <c r="L125">
        <v>159520.04</v>
      </c>
      <c r="M125" t="str" cm="1">
        <f t="array" ref="M125">_xlfn.IFS(A125&lt;30,"Young",A125&lt;=50,"Adult",A125&gt;50,"Senior")</f>
        <v>Adult</v>
      </c>
    </row>
    <row r="126" spans="1:13" x14ac:dyDescent="0.3">
      <c r="A126">
        <v>47</v>
      </c>
      <c r="B126" t="s">
        <v>11</v>
      </c>
      <c r="C126">
        <v>33.914999999999999</v>
      </c>
      <c r="D126">
        <v>3</v>
      </c>
      <c r="E126" t="s">
        <v>19</v>
      </c>
      <c r="F126" t="s">
        <v>8</v>
      </c>
      <c r="G126">
        <v>10115.00885</v>
      </c>
      <c r="H126">
        <v>115.1</v>
      </c>
      <c r="I126" t="s">
        <v>1</v>
      </c>
      <c r="J126" t="b">
        <v>1</v>
      </c>
      <c r="K126" t="s">
        <v>15</v>
      </c>
      <c r="L126">
        <v>61868.4</v>
      </c>
      <c r="M126" t="str" cm="1">
        <f t="array" ref="M126">_xlfn.IFS(A126&lt;30,"Young",A126&lt;=50,"Adult",A126&gt;50,"Senior")</f>
        <v>Adult</v>
      </c>
    </row>
    <row r="127" spans="1:13" x14ac:dyDescent="0.3">
      <c r="A127">
        <v>26</v>
      </c>
      <c r="B127" t="s">
        <v>11</v>
      </c>
      <c r="C127">
        <v>28.785</v>
      </c>
      <c r="D127">
        <v>0</v>
      </c>
      <c r="E127" t="s">
        <v>19</v>
      </c>
      <c r="F127" t="s">
        <v>9</v>
      </c>
      <c r="G127">
        <v>3385.3991500000002</v>
      </c>
      <c r="H127">
        <v>119.8</v>
      </c>
      <c r="I127" t="s">
        <v>3</v>
      </c>
      <c r="J127" t="b">
        <v>1</v>
      </c>
      <c r="K127" t="s">
        <v>15</v>
      </c>
      <c r="L127">
        <v>183649.14</v>
      </c>
      <c r="M127" t="str" cm="1">
        <f t="array" ref="M127">_xlfn.IFS(A127&lt;30,"Young",A127&lt;=50,"Adult",A127&gt;50,"Senior")</f>
        <v>Young</v>
      </c>
    </row>
    <row r="128" spans="1:13" x14ac:dyDescent="0.3">
      <c r="A128">
        <v>19</v>
      </c>
      <c r="B128" t="s">
        <v>11</v>
      </c>
      <c r="C128">
        <v>28.3</v>
      </c>
      <c r="D128">
        <v>0</v>
      </c>
      <c r="E128" t="s">
        <v>18</v>
      </c>
      <c r="F128" t="s">
        <v>6</v>
      </c>
      <c r="G128">
        <v>17081.080000000002</v>
      </c>
      <c r="H128">
        <v>127.7</v>
      </c>
      <c r="I128" t="s">
        <v>2</v>
      </c>
      <c r="J128" t="b">
        <v>1</v>
      </c>
      <c r="K128" t="s">
        <v>15</v>
      </c>
      <c r="L128">
        <v>140376.6</v>
      </c>
      <c r="M128" t="str" cm="1">
        <f t="array" ref="M128">_xlfn.IFS(A128&lt;30,"Young",A128&lt;=50,"Adult",A128&gt;50,"Senior")</f>
        <v>Young</v>
      </c>
    </row>
    <row r="129" spans="1:13" x14ac:dyDescent="0.3">
      <c r="A129">
        <v>52</v>
      </c>
      <c r="B129" t="s">
        <v>11</v>
      </c>
      <c r="C129">
        <v>37.4</v>
      </c>
      <c r="D129">
        <v>0</v>
      </c>
      <c r="E129" t="s">
        <v>19</v>
      </c>
      <c r="F129" t="s">
        <v>6</v>
      </c>
      <c r="G129">
        <v>9634.5380000000005</v>
      </c>
      <c r="H129">
        <v>123.4</v>
      </c>
      <c r="I129" t="s">
        <v>2</v>
      </c>
      <c r="J129" t="b">
        <v>1</v>
      </c>
      <c r="K129" t="s">
        <v>14</v>
      </c>
      <c r="L129">
        <v>89758.93</v>
      </c>
      <c r="M129" t="str" cm="1">
        <f t="array" ref="M129">_xlfn.IFS(A129&lt;30,"Young",A129&lt;=50,"Adult",A129&gt;50,"Senior")</f>
        <v>Senior</v>
      </c>
    </row>
    <row r="130" spans="1:13" x14ac:dyDescent="0.3">
      <c r="A130">
        <v>32</v>
      </c>
      <c r="B130" t="s">
        <v>11</v>
      </c>
      <c r="C130">
        <v>17.765000000000001</v>
      </c>
      <c r="D130">
        <v>2</v>
      </c>
      <c r="E130" t="s">
        <v>18</v>
      </c>
      <c r="F130" t="s">
        <v>8</v>
      </c>
      <c r="G130">
        <v>32734.186300000001</v>
      </c>
      <c r="H130">
        <v>116.3</v>
      </c>
      <c r="I130" t="s">
        <v>0</v>
      </c>
      <c r="J130" t="b">
        <v>0</v>
      </c>
      <c r="K130" t="s">
        <v>16</v>
      </c>
      <c r="L130">
        <v>57312.86</v>
      </c>
      <c r="M130" t="str" cm="1">
        <f t="array" ref="M130">_xlfn.IFS(A130&lt;30,"Young",A130&lt;=50,"Adult",A130&gt;50,"Senior")</f>
        <v>Adult</v>
      </c>
    </row>
    <row r="131" spans="1:13" x14ac:dyDescent="0.3">
      <c r="A131">
        <v>38</v>
      </c>
      <c r="B131" t="s">
        <v>12</v>
      </c>
      <c r="C131">
        <v>34.700000000000003</v>
      </c>
      <c r="D131">
        <v>2</v>
      </c>
      <c r="E131" t="s">
        <v>19</v>
      </c>
      <c r="F131" t="s">
        <v>6</v>
      </c>
      <c r="G131">
        <v>6082.4049999999997</v>
      </c>
      <c r="H131">
        <v>128.30000000000001</v>
      </c>
      <c r="I131" t="s">
        <v>1</v>
      </c>
      <c r="J131" t="b">
        <v>1</v>
      </c>
      <c r="K131" t="s">
        <v>16</v>
      </c>
      <c r="L131">
        <v>49469.85</v>
      </c>
      <c r="M131" t="str" cm="1">
        <f t="array" ref="M131">_xlfn.IFS(A131&lt;30,"Young",A131&lt;=50,"Adult",A131&gt;50,"Senior")</f>
        <v>Adult</v>
      </c>
    </row>
    <row r="132" spans="1:13" x14ac:dyDescent="0.3">
      <c r="A132">
        <v>59</v>
      </c>
      <c r="B132" t="s">
        <v>11</v>
      </c>
      <c r="C132">
        <v>26.504999999999999</v>
      </c>
      <c r="D132">
        <v>0</v>
      </c>
      <c r="E132" t="s">
        <v>19</v>
      </c>
      <c r="F132" t="s">
        <v>9</v>
      </c>
      <c r="G132">
        <v>12815.444949999999</v>
      </c>
      <c r="H132">
        <v>129.5</v>
      </c>
      <c r="I132" t="s">
        <v>0</v>
      </c>
      <c r="J132" t="b">
        <v>1</v>
      </c>
      <c r="K132" t="s">
        <v>15</v>
      </c>
      <c r="L132">
        <v>187808.97</v>
      </c>
      <c r="M132" t="str" cm="1">
        <f t="array" ref="M132">_xlfn.IFS(A132&lt;30,"Young",A132&lt;=50,"Adult",A132&gt;50,"Senior")</f>
        <v>Senior</v>
      </c>
    </row>
    <row r="133" spans="1:13" x14ac:dyDescent="0.3">
      <c r="A133">
        <v>61</v>
      </c>
      <c r="B133" t="s">
        <v>11</v>
      </c>
      <c r="C133">
        <v>22.04</v>
      </c>
      <c r="D133">
        <v>0</v>
      </c>
      <c r="E133" t="s">
        <v>19</v>
      </c>
      <c r="F133" t="s">
        <v>9</v>
      </c>
      <c r="G133">
        <v>13616.3586</v>
      </c>
      <c r="H133">
        <v>113.7</v>
      </c>
      <c r="I133" t="s">
        <v>3</v>
      </c>
      <c r="J133" t="b">
        <v>0</v>
      </c>
      <c r="K133" t="s">
        <v>15</v>
      </c>
      <c r="L133">
        <v>48057.45</v>
      </c>
      <c r="M133" t="str" cm="1">
        <f t="array" ref="M133">_xlfn.IFS(A133&lt;30,"Young",A133&lt;=50,"Adult",A133&gt;50,"Senior")</f>
        <v>Senior</v>
      </c>
    </row>
    <row r="134" spans="1:13" x14ac:dyDescent="0.3">
      <c r="A134">
        <v>53</v>
      </c>
      <c r="B134" t="s">
        <v>11</v>
      </c>
      <c r="C134">
        <v>35.9</v>
      </c>
      <c r="D134">
        <v>2</v>
      </c>
      <c r="E134" t="s">
        <v>19</v>
      </c>
      <c r="F134" t="s">
        <v>6</v>
      </c>
      <c r="G134">
        <v>11163.567999999999</v>
      </c>
      <c r="H134">
        <v>117.3</v>
      </c>
      <c r="I134" t="s">
        <v>2</v>
      </c>
      <c r="J134" t="b">
        <v>1</v>
      </c>
      <c r="K134" t="s">
        <v>14</v>
      </c>
      <c r="L134">
        <v>104477.41</v>
      </c>
      <c r="M134" t="str" cm="1">
        <f t="array" ref="M134">_xlfn.IFS(A134&lt;30,"Young",A134&lt;=50,"Adult",A134&gt;50,"Senior")</f>
        <v>Senior</v>
      </c>
    </row>
    <row r="135" spans="1:13" x14ac:dyDescent="0.3">
      <c r="A135">
        <v>19</v>
      </c>
      <c r="B135" t="s">
        <v>12</v>
      </c>
      <c r="C135">
        <v>25.555</v>
      </c>
      <c r="D135">
        <v>0</v>
      </c>
      <c r="E135" t="s">
        <v>19</v>
      </c>
      <c r="F135" t="s">
        <v>8</v>
      </c>
      <c r="G135">
        <v>1632.5644500000001</v>
      </c>
      <c r="H135">
        <v>117.7</v>
      </c>
      <c r="I135" t="s">
        <v>0</v>
      </c>
      <c r="J135" t="b">
        <v>0</v>
      </c>
      <c r="K135" t="s">
        <v>14</v>
      </c>
      <c r="L135">
        <v>70991.009999999995</v>
      </c>
      <c r="M135" t="str" cm="1">
        <f t="array" ref="M135">_xlfn.IFS(A135&lt;30,"Young",A135&lt;=50,"Adult",A135&gt;50,"Senior")</f>
        <v>Young</v>
      </c>
    </row>
    <row r="136" spans="1:13" x14ac:dyDescent="0.3">
      <c r="A136">
        <v>20</v>
      </c>
      <c r="B136" t="s">
        <v>11</v>
      </c>
      <c r="C136">
        <v>28.785</v>
      </c>
      <c r="D136">
        <v>0</v>
      </c>
      <c r="E136" t="s">
        <v>19</v>
      </c>
      <c r="F136" t="s">
        <v>9</v>
      </c>
      <c r="G136">
        <v>2457.2111500000001</v>
      </c>
      <c r="H136">
        <v>115.8</v>
      </c>
      <c r="I136" t="s">
        <v>2</v>
      </c>
      <c r="J136" t="b">
        <v>0</v>
      </c>
      <c r="K136" t="s">
        <v>16</v>
      </c>
      <c r="L136">
        <v>161352.43</v>
      </c>
      <c r="M136" t="str" cm="1">
        <f t="array" ref="M136">_xlfn.IFS(A136&lt;30,"Young",A136&lt;=50,"Adult",A136&gt;50,"Senior")</f>
        <v>Young</v>
      </c>
    </row>
    <row r="137" spans="1:13" x14ac:dyDescent="0.3">
      <c r="A137">
        <v>22</v>
      </c>
      <c r="B137" t="s">
        <v>11</v>
      </c>
      <c r="C137">
        <v>28.05</v>
      </c>
      <c r="D137">
        <v>0</v>
      </c>
      <c r="E137" t="s">
        <v>19</v>
      </c>
      <c r="F137" t="s">
        <v>7</v>
      </c>
      <c r="G137">
        <v>2155.6815000000001</v>
      </c>
      <c r="H137">
        <v>112.9</v>
      </c>
      <c r="I137" t="s">
        <v>1</v>
      </c>
      <c r="J137" t="b">
        <v>0</v>
      </c>
      <c r="K137" t="s">
        <v>14</v>
      </c>
      <c r="L137">
        <v>129949.81</v>
      </c>
      <c r="M137" t="str" cm="1">
        <f t="array" ref="M137">_xlfn.IFS(A137&lt;30,"Young",A137&lt;=50,"Adult",A137&gt;50,"Senior")</f>
        <v>Young</v>
      </c>
    </row>
    <row r="138" spans="1:13" x14ac:dyDescent="0.3">
      <c r="A138">
        <v>19</v>
      </c>
      <c r="B138" t="s">
        <v>12</v>
      </c>
      <c r="C138">
        <v>34.1</v>
      </c>
      <c r="D138">
        <v>0</v>
      </c>
      <c r="E138" t="s">
        <v>19</v>
      </c>
      <c r="F138" t="s">
        <v>6</v>
      </c>
      <c r="G138">
        <v>1261.442</v>
      </c>
      <c r="H138">
        <v>133.1</v>
      </c>
      <c r="I138" t="s">
        <v>1</v>
      </c>
      <c r="J138" t="b">
        <v>0</v>
      </c>
      <c r="K138" t="s">
        <v>15</v>
      </c>
      <c r="L138">
        <v>42185.36</v>
      </c>
      <c r="M138" t="str" cm="1">
        <f t="array" ref="M138">_xlfn.IFS(A138&lt;30,"Young",A138&lt;=50,"Adult",A138&gt;50,"Senior")</f>
        <v>Young</v>
      </c>
    </row>
    <row r="139" spans="1:13" x14ac:dyDescent="0.3">
      <c r="A139">
        <v>22</v>
      </c>
      <c r="B139" t="s">
        <v>12</v>
      </c>
      <c r="C139">
        <v>25.175000000000001</v>
      </c>
      <c r="D139">
        <v>0</v>
      </c>
      <c r="E139" t="s">
        <v>19</v>
      </c>
      <c r="F139" t="s">
        <v>8</v>
      </c>
      <c r="G139">
        <v>2045.68525</v>
      </c>
      <c r="H139">
        <v>118.4</v>
      </c>
      <c r="I139" t="s">
        <v>3</v>
      </c>
      <c r="J139" t="b">
        <v>0</v>
      </c>
      <c r="K139" t="s">
        <v>15</v>
      </c>
      <c r="L139">
        <v>139565.62</v>
      </c>
      <c r="M139" t="str" cm="1">
        <f t="array" ref="M139">_xlfn.IFS(A139&lt;30,"Young",A139&lt;=50,"Adult",A139&gt;50,"Senior")</f>
        <v>Young</v>
      </c>
    </row>
    <row r="140" spans="1:13" x14ac:dyDescent="0.3">
      <c r="A140">
        <v>54</v>
      </c>
      <c r="B140" t="s">
        <v>11</v>
      </c>
      <c r="C140">
        <v>31.9</v>
      </c>
      <c r="D140">
        <v>3</v>
      </c>
      <c r="E140" t="s">
        <v>19</v>
      </c>
      <c r="F140" t="s">
        <v>7</v>
      </c>
      <c r="G140">
        <v>27322.73386</v>
      </c>
      <c r="H140">
        <v>135.30000000000001</v>
      </c>
      <c r="I140" t="s">
        <v>1</v>
      </c>
      <c r="J140" t="b">
        <v>0</v>
      </c>
      <c r="K140" t="s">
        <v>14</v>
      </c>
      <c r="L140">
        <v>136752.21</v>
      </c>
      <c r="M140" t="str" cm="1">
        <f t="array" ref="M140">_xlfn.IFS(A140&lt;30,"Young",A140&lt;=50,"Adult",A140&gt;50,"Senior")</f>
        <v>Senior</v>
      </c>
    </row>
    <row r="141" spans="1:13" x14ac:dyDescent="0.3">
      <c r="A141">
        <v>22</v>
      </c>
      <c r="B141" t="s">
        <v>11</v>
      </c>
      <c r="C141">
        <v>36</v>
      </c>
      <c r="D141">
        <v>0</v>
      </c>
      <c r="E141" t="s">
        <v>19</v>
      </c>
      <c r="F141" t="s">
        <v>6</v>
      </c>
      <c r="G141">
        <v>2166.732</v>
      </c>
      <c r="H141">
        <v>135.9</v>
      </c>
      <c r="I141" t="s">
        <v>3</v>
      </c>
      <c r="J141" t="b">
        <v>0</v>
      </c>
      <c r="K141" t="s">
        <v>15</v>
      </c>
      <c r="L141">
        <v>78575.429999999993</v>
      </c>
      <c r="M141" t="str" cm="1">
        <f t="array" ref="M141">_xlfn.IFS(A141&lt;30,"Young",A141&lt;=50,"Adult",A141&gt;50,"Senior")</f>
        <v>Young</v>
      </c>
    </row>
    <row r="142" spans="1:13" x14ac:dyDescent="0.3">
      <c r="A142">
        <v>34</v>
      </c>
      <c r="B142" t="s">
        <v>12</v>
      </c>
      <c r="C142">
        <v>22.42</v>
      </c>
      <c r="D142">
        <v>2</v>
      </c>
      <c r="E142" t="s">
        <v>19</v>
      </c>
      <c r="F142" t="s">
        <v>9</v>
      </c>
      <c r="G142">
        <v>27375.904780000001</v>
      </c>
      <c r="H142">
        <v>123.1</v>
      </c>
      <c r="I142" t="s">
        <v>1</v>
      </c>
      <c r="J142" t="b">
        <v>1</v>
      </c>
      <c r="K142" t="s">
        <v>16</v>
      </c>
      <c r="L142">
        <v>199584.85</v>
      </c>
      <c r="M142" t="str" cm="1">
        <f t="array" ref="M142">_xlfn.IFS(A142&lt;30,"Young",A142&lt;=50,"Adult",A142&gt;50,"Senior")</f>
        <v>Adult</v>
      </c>
    </row>
    <row r="143" spans="1:13" x14ac:dyDescent="0.3">
      <c r="A143">
        <v>26</v>
      </c>
      <c r="B143" t="s">
        <v>12</v>
      </c>
      <c r="C143">
        <v>32.49</v>
      </c>
      <c r="D143">
        <v>1</v>
      </c>
      <c r="E143" t="s">
        <v>19</v>
      </c>
      <c r="F143" t="s">
        <v>9</v>
      </c>
      <c r="G143">
        <v>3490.5491000000002</v>
      </c>
      <c r="H143">
        <v>127.3</v>
      </c>
      <c r="I143" t="s">
        <v>0</v>
      </c>
      <c r="J143" t="b">
        <v>0</v>
      </c>
      <c r="K143" t="s">
        <v>15</v>
      </c>
      <c r="L143">
        <v>163812.73000000001</v>
      </c>
      <c r="M143" t="str" cm="1">
        <f t="array" ref="M143">_xlfn.IFS(A143&lt;30,"Young",A143&lt;=50,"Adult",A143&gt;50,"Senior")</f>
        <v>Young</v>
      </c>
    </row>
    <row r="144" spans="1:13" x14ac:dyDescent="0.3">
      <c r="A144">
        <v>34</v>
      </c>
      <c r="B144" t="s">
        <v>12</v>
      </c>
      <c r="C144">
        <v>25.3</v>
      </c>
      <c r="D144">
        <v>2</v>
      </c>
      <c r="E144" t="s">
        <v>18</v>
      </c>
      <c r="F144" t="s">
        <v>7</v>
      </c>
      <c r="G144">
        <v>18972.494999999999</v>
      </c>
      <c r="H144">
        <v>127.8</v>
      </c>
      <c r="I144" t="s">
        <v>2</v>
      </c>
      <c r="J144" t="b">
        <v>0</v>
      </c>
      <c r="K144" t="s">
        <v>16</v>
      </c>
      <c r="L144">
        <v>127640.23</v>
      </c>
      <c r="M144" t="str" cm="1">
        <f t="array" ref="M144">_xlfn.IFS(A144&lt;30,"Young",A144&lt;=50,"Adult",A144&gt;50,"Senior")</f>
        <v>Adult</v>
      </c>
    </row>
    <row r="145" spans="1:13" x14ac:dyDescent="0.3">
      <c r="A145">
        <v>29</v>
      </c>
      <c r="B145" t="s">
        <v>12</v>
      </c>
      <c r="C145">
        <v>29.734999999999999</v>
      </c>
      <c r="D145">
        <v>2</v>
      </c>
      <c r="E145" t="s">
        <v>19</v>
      </c>
      <c r="F145" t="s">
        <v>8</v>
      </c>
      <c r="G145">
        <v>18157.876</v>
      </c>
      <c r="H145">
        <v>130.30000000000001</v>
      </c>
      <c r="I145" t="s">
        <v>2</v>
      </c>
      <c r="J145" t="b">
        <v>1</v>
      </c>
      <c r="K145" t="s">
        <v>14</v>
      </c>
      <c r="L145">
        <v>77817.94</v>
      </c>
      <c r="M145" t="str" cm="1">
        <f t="array" ref="M145">_xlfn.IFS(A145&lt;30,"Young",A145&lt;=50,"Adult",A145&gt;50,"Senior")</f>
        <v>Young</v>
      </c>
    </row>
    <row r="146" spans="1:13" x14ac:dyDescent="0.3">
      <c r="A146">
        <v>30</v>
      </c>
      <c r="B146" t="s">
        <v>12</v>
      </c>
      <c r="C146">
        <v>28.69</v>
      </c>
      <c r="D146">
        <v>3</v>
      </c>
      <c r="E146" t="s">
        <v>18</v>
      </c>
      <c r="F146" t="s">
        <v>8</v>
      </c>
      <c r="G146">
        <v>20745.989099999999</v>
      </c>
      <c r="H146">
        <v>120.9</v>
      </c>
      <c r="I146" t="s">
        <v>1</v>
      </c>
      <c r="J146" t="b">
        <v>1</v>
      </c>
      <c r="K146" t="s">
        <v>14</v>
      </c>
      <c r="L146">
        <v>78865.62</v>
      </c>
      <c r="M146" t="str" cm="1">
        <f t="array" ref="M146">_xlfn.IFS(A146&lt;30,"Young",A146&lt;=50,"Adult",A146&gt;50,"Senior")</f>
        <v>Adult</v>
      </c>
    </row>
    <row r="147" spans="1:13" x14ac:dyDescent="0.3">
      <c r="A147">
        <v>29</v>
      </c>
      <c r="B147" t="s">
        <v>11</v>
      </c>
      <c r="C147">
        <v>38.83</v>
      </c>
      <c r="D147">
        <v>3</v>
      </c>
      <c r="E147" t="s">
        <v>19</v>
      </c>
      <c r="F147" t="s">
        <v>7</v>
      </c>
      <c r="G147">
        <v>5138.2566999999999</v>
      </c>
      <c r="H147">
        <v>126.7</v>
      </c>
      <c r="I147" t="s">
        <v>3</v>
      </c>
      <c r="J147" t="b">
        <v>1</v>
      </c>
      <c r="K147" t="s">
        <v>15</v>
      </c>
      <c r="L147">
        <v>39888.870000000003</v>
      </c>
      <c r="M147" t="str" cm="1">
        <f t="array" ref="M147">_xlfn.IFS(A147&lt;30,"Young",A147&lt;=50,"Adult",A147&gt;50,"Senior")</f>
        <v>Young</v>
      </c>
    </row>
    <row r="148" spans="1:13" x14ac:dyDescent="0.3">
      <c r="A148">
        <v>46</v>
      </c>
      <c r="B148" t="s">
        <v>12</v>
      </c>
      <c r="C148">
        <v>30.495000000000001</v>
      </c>
      <c r="D148">
        <v>3</v>
      </c>
      <c r="E148" t="s">
        <v>18</v>
      </c>
      <c r="F148" t="s">
        <v>8</v>
      </c>
      <c r="G148">
        <v>40720.551050000002</v>
      </c>
      <c r="H148">
        <v>125.1</v>
      </c>
      <c r="I148" t="s">
        <v>1</v>
      </c>
      <c r="J148" t="b">
        <v>0</v>
      </c>
      <c r="K148" t="s">
        <v>16</v>
      </c>
      <c r="L148">
        <v>121670.15</v>
      </c>
      <c r="M148" t="str" cm="1">
        <f t="array" ref="M148">_xlfn.IFS(A148&lt;30,"Young",A148&lt;=50,"Adult",A148&gt;50,"Senior")</f>
        <v>Adult</v>
      </c>
    </row>
    <row r="149" spans="1:13" x14ac:dyDescent="0.3">
      <c r="A149">
        <v>51</v>
      </c>
      <c r="B149" t="s">
        <v>11</v>
      </c>
      <c r="C149">
        <v>37.729999999999997</v>
      </c>
      <c r="D149">
        <v>1</v>
      </c>
      <c r="E149" t="s">
        <v>19</v>
      </c>
      <c r="F149" t="s">
        <v>7</v>
      </c>
      <c r="G149">
        <v>9877.6077000000005</v>
      </c>
      <c r="H149">
        <v>126.3</v>
      </c>
      <c r="I149" t="s">
        <v>1</v>
      </c>
      <c r="J149" t="b">
        <v>1</v>
      </c>
      <c r="K149" t="s">
        <v>15</v>
      </c>
      <c r="L149">
        <v>43572.26</v>
      </c>
      <c r="M149" t="str" cm="1">
        <f t="array" ref="M149">_xlfn.IFS(A149&lt;30,"Young",A149&lt;=50,"Adult",A149&gt;50,"Senior")</f>
        <v>Senior</v>
      </c>
    </row>
    <row r="150" spans="1:13" x14ac:dyDescent="0.3">
      <c r="A150">
        <v>53</v>
      </c>
      <c r="B150" t="s">
        <v>11</v>
      </c>
      <c r="C150">
        <v>37.43</v>
      </c>
      <c r="D150">
        <v>1</v>
      </c>
      <c r="E150" t="s">
        <v>19</v>
      </c>
      <c r="F150" t="s">
        <v>8</v>
      </c>
      <c r="G150">
        <v>10959.6947</v>
      </c>
      <c r="H150">
        <v>110.3</v>
      </c>
      <c r="I150" t="s">
        <v>3</v>
      </c>
      <c r="J150" t="b">
        <v>0</v>
      </c>
      <c r="K150" t="s">
        <v>16</v>
      </c>
      <c r="L150">
        <v>36437.11</v>
      </c>
      <c r="M150" t="str" cm="1">
        <f t="array" ref="M150">_xlfn.IFS(A150&lt;30,"Young",A150&lt;=50,"Adult",A150&gt;50,"Senior")</f>
        <v>Senior</v>
      </c>
    </row>
    <row r="151" spans="1:13" x14ac:dyDescent="0.3">
      <c r="A151">
        <v>19</v>
      </c>
      <c r="B151" t="s">
        <v>12</v>
      </c>
      <c r="C151">
        <v>28.4</v>
      </c>
      <c r="D151">
        <v>1</v>
      </c>
      <c r="E151" t="s">
        <v>19</v>
      </c>
      <c r="F151" t="s">
        <v>6</v>
      </c>
      <c r="G151">
        <v>1842.519</v>
      </c>
      <c r="H151">
        <v>122.1</v>
      </c>
      <c r="I151" t="s">
        <v>0</v>
      </c>
      <c r="J151" t="b">
        <v>0</v>
      </c>
      <c r="K151" t="s">
        <v>14</v>
      </c>
      <c r="L151">
        <v>134843.92000000001</v>
      </c>
      <c r="M151" t="str" cm="1">
        <f t="array" ref="M151">_xlfn.IFS(A151&lt;30,"Young",A151&lt;=50,"Adult",A151&gt;50,"Senior")</f>
        <v>Young</v>
      </c>
    </row>
    <row r="152" spans="1:13" x14ac:dyDescent="0.3">
      <c r="A152">
        <v>35</v>
      </c>
      <c r="B152" t="s">
        <v>12</v>
      </c>
      <c r="C152">
        <v>24.13</v>
      </c>
      <c r="D152">
        <v>1</v>
      </c>
      <c r="E152" t="s">
        <v>19</v>
      </c>
      <c r="F152" t="s">
        <v>8</v>
      </c>
      <c r="G152">
        <v>5125.2156999999997</v>
      </c>
      <c r="H152">
        <v>112.2</v>
      </c>
      <c r="I152" t="s">
        <v>1</v>
      </c>
      <c r="J152" t="b">
        <v>0</v>
      </c>
      <c r="K152" t="s">
        <v>14</v>
      </c>
      <c r="L152">
        <v>108644.82</v>
      </c>
      <c r="M152" t="str" cm="1">
        <f t="array" ref="M152">_xlfn.IFS(A152&lt;30,"Young",A152&lt;=50,"Adult",A152&gt;50,"Senior")</f>
        <v>Adult</v>
      </c>
    </row>
    <row r="153" spans="1:13" x14ac:dyDescent="0.3">
      <c r="A153">
        <v>48</v>
      </c>
      <c r="B153" t="s">
        <v>12</v>
      </c>
      <c r="C153">
        <v>29.7</v>
      </c>
      <c r="D153">
        <v>0</v>
      </c>
      <c r="E153" t="s">
        <v>19</v>
      </c>
      <c r="F153" t="s">
        <v>7</v>
      </c>
      <c r="G153">
        <v>7789.6350000000002</v>
      </c>
      <c r="H153">
        <v>110.3</v>
      </c>
      <c r="I153" t="s">
        <v>2</v>
      </c>
      <c r="J153" t="b">
        <v>1</v>
      </c>
      <c r="K153" t="s">
        <v>15</v>
      </c>
      <c r="L153">
        <v>132822.17000000001</v>
      </c>
      <c r="M153" t="str" cm="1">
        <f t="array" ref="M153">_xlfn.IFS(A153&lt;30,"Young",A153&lt;=50,"Adult",A153&gt;50,"Senior")</f>
        <v>Adult</v>
      </c>
    </row>
    <row r="154" spans="1:13" x14ac:dyDescent="0.3">
      <c r="A154">
        <v>32</v>
      </c>
      <c r="B154" t="s">
        <v>11</v>
      </c>
      <c r="C154">
        <v>37.145000000000003</v>
      </c>
      <c r="D154">
        <v>3</v>
      </c>
      <c r="E154" t="s">
        <v>19</v>
      </c>
      <c r="F154" t="s">
        <v>9</v>
      </c>
      <c r="G154">
        <v>6334.3435499999996</v>
      </c>
      <c r="H154">
        <v>122.5</v>
      </c>
      <c r="I154" t="s">
        <v>3</v>
      </c>
      <c r="J154" t="b">
        <v>0</v>
      </c>
      <c r="K154" t="s">
        <v>14</v>
      </c>
      <c r="L154">
        <v>91505.33</v>
      </c>
      <c r="M154" t="str" cm="1">
        <f t="array" ref="M154">_xlfn.IFS(A154&lt;30,"Young",A154&lt;=50,"Adult",A154&gt;50,"Senior")</f>
        <v>Adult</v>
      </c>
    </row>
    <row r="155" spans="1:13" x14ac:dyDescent="0.3">
      <c r="A155">
        <v>42</v>
      </c>
      <c r="B155" t="s">
        <v>11</v>
      </c>
      <c r="C155">
        <v>23.37</v>
      </c>
      <c r="D155">
        <v>0</v>
      </c>
      <c r="E155" t="s">
        <v>18</v>
      </c>
      <c r="F155" t="s">
        <v>9</v>
      </c>
      <c r="G155">
        <v>19964.746299999999</v>
      </c>
      <c r="H155">
        <v>121.4</v>
      </c>
      <c r="I155" t="s">
        <v>0</v>
      </c>
      <c r="J155" t="b">
        <v>0</v>
      </c>
      <c r="K155" t="s">
        <v>15</v>
      </c>
      <c r="L155">
        <v>55273.38</v>
      </c>
      <c r="M155" t="str" cm="1">
        <f t="array" ref="M155">_xlfn.IFS(A155&lt;30,"Young",A155&lt;=50,"Adult",A155&gt;50,"Senior")</f>
        <v>Adult</v>
      </c>
    </row>
    <row r="156" spans="1:13" x14ac:dyDescent="0.3">
      <c r="A156">
        <v>40</v>
      </c>
      <c r="B156" t="s">
        <v>11</v>
      </c>
      <c r="C156">
        <v>25.46</v>
      </c>
      <c r="D156">
        <v>1</v>
      </c>
      <c r="E156" t="s">
        <v>19</v>
      </c>
      <c r="F156" t="s">
        <v>9</v>
      </c>
      <c r="G156">
        <v>7077.1894000000002</v>
      </c>
      <c r="H156">
        <v>119.4</v>
      </c>
      <c r="I156" t="s">
        <v>0</v>
      </c>
      <c r="J156" t="b">
        <v>1</v>
      </c>
      <c r="K156" t="s">
        <v>16</v>
      </c>
      <c r="L156">
        <v>33993.54</v>
      </c>
      <c r="M156" t="str" cm="1">
        <f t="array" ref="M156">_xlfn.IFS(A156&lt;30,"Young",A156&lt;=50,"Adult",A156&gt;50,"Senior")</f>
        <v>Adult</v>
      </c>
    </row>
    <row r="157" spans="1:13" x14ac:dyDescent="0.3">
      <c r="A157">
        <v>44</v>
      </c>
      <c r="B157" t="s">
        <v>12</v>
      </c>
      <c r="C157">
        <v>39.520000000000003</v>
      </c>
      <c r="D157">
        <v>0</v>
      </c>
      <c r="E157" t="s">
        <v>19</v>
      </c>
      <c r="F157" t="s">
        <v>8</v>
      </c>
      <c r="G157">
        <v>6948.7007999999996</v>
      </c>
      <c r="H157">
        <v>126.1</v>
      </c>
      <c r="I157" t="s">
        <v>2</v>
      </c>
      <c r="J157" t="b">
        <v>0</v>
      </c>
      <c r="K157" t="s">
        <v>16</v>
      </c>
      <c r="L157">
        <v>37983.06</v>
      </c>
      <c r="M157" t="str" cm="1">
        <f t="array" ref="M157">_xlfn.IFS(A157&lt;30,"Young",A157&lt;=50,"Adult",A157&gt;50,"Senior")</f>
        <v>Adult</v>
      </c>
    </row>
    <row r="158" spans="1:13" x14ac:dyDescent="0.3">
      <c r="A158">
        <v>48</v>
      </c>
      <c r="B158" t="s">
        <v>12</v>
      </c>
      <c r="C158">
        <v>24.42</v>
      </c>
      <c r="D158">
        <v>0</v>
      </c>
      <c r="E158" t="s">
        <v>18</v>
      </c>
      <c r="F158" t="s">
        <v>7</v>
      </c>
      <c r="G158">
        <v>21223.675800000001</v>
      </c>
      <c r="H158">
        <v>115.4</v>
      </c>
      <c r="I158" t="s">
        <v>3</v>
      </c>
      <c r="J158" t="b">
        <v>0</v>
      </c>
      <c r="K158" t="s">
        <v>16</v>
      </c>
      <c r="L158">
        <v>30662.67</v>
      </c>
      <c r="M158" t="str" cm="1">
        <f t="array" ref="M158">_xlfn.IFS(A158&lt;30,"Young",A158&lt;=50,"Adult",A158&gt;50,"Senior")</f>
        <v>Adult</v>
      </c>
    </row>
    <row r="159" spans="1:13" x14ac:dyDescent="0.3">
      <c r="A159">
        <v>18</v>
      </c>
      <c r="B159" t="s">
        <v>12</v>
      </c>
      <c r="C159">
        <v>25.175000000000001</v>
      </c>
      <c r="D159">
        <v>0</v>
      </c>
      <c r="E159" t="s">
        <v>18</v>
      </c>
      <c r="F159" t="s">
        <v>9</v>
      </c>
      <c r="G159">
        <v>15518.180249999999</v>
      </c>
      <c r="H159">
        <v>114</v>
      </c>
      <c r="I159" t="s">
        <v>0</v>
      </c>
      <c r="J159" t="b">
        <v>1</v>
      </c>
      <c r="K159" t="s">
        <v>16</v>
      </c>
      <c r="L159">
        <v>55582.52</v>
      </c>
      <c r="M159" t="str" cm="1">
        <f t="array" ref="M159">_xlfn.IFS(A159&lt;30,"Young",A159&lt;=50,"Adult",A159&gt;50,"Senior")</f>
        <v>Young</v>
      </c>
    </row>
    <row r="160" spans="1:13" x14ac:dyDescent="0.3">
      <c r="A160">
        <v>30</v>
      </c>
      <c r="B160" t="s">
        <v>12</v>
      </c>
      <c r="C160">
        <v>35.53</v>
      </c>
      <c r="D160">
        <v>0</v>
      </c>
      <c r="E160" t="s">
        <v>18</v>
      </c>
      <c r="F160" t="s">
        <v>7</v>
      </c>
      <c r="G160">
        <v>36950.256699999998</v>
      </c>
      <c r="H160">
        <v>119.6</v>
      </c>
      <c r="I160" t="s">
        <v>2</v>
      </c>
      <c r="J160" t="b">
        <v>1</v>
      </c>
      <c r="K160" t="s">
        <v>15</v>
      </c>
      <c r="L160">
        <v>176162.09</v>
      </c>
      <c r="M160" t="str" cm="1">
        <f t="array" ref="M160">_xlfn.IFS(A160&lt;30,"Young",A160&lt;=50,"Adult",A160&gt;50,"Senior")</f>
        <v>Adult</v>
      </c>
    </row>
    <row r="161" spans="1:13" x14ac:dyDescent="0.3">
      <c r="A161">
        <v>50</v>
      </c>
      <c r="B161" t="s">
        <v>11</v>
      </c>
      <c r="C161">
        <v>27.83</v>
      </c>
      <c r="D161">
        <v>3</v>
      </c>
      <c r="E161" t="s">
        <v>19</v>
      </c>
      <c r="F161" t="s">
        <v>7</v>
      </c>
      <c r="G161">
        <v>19749.383379999999</v>
      </c>
      <c r="H161">
        <v>133.6</v>
      </c>
      <c r="I161" t="s">
        <v>2</v>
      </c>
      <c r="J161" t="b">
        <v>0</v>
      </c>
      <c r="K161" t="s">
        <v>16</v>
      </c>
      <c r="L161">
        <v>43917.9</v>
      </c>
      <c r="M161" t="str" cm="1">
        <f t="array" ref="M161">_xlfn.IFS(A161&lt;30,"Young",A161&lt;=50,"Adult",A161&gt;50,"Senior")</f>
        <v>Adult</v>
      </c>
    </row>
    <row r="162" spans="1:13" x14ac:dyDescent="0.3">
      <c r="A162">
        <v>42</v>
      </c>
      <c r="B162" t="s">
        <v>11</v>
      </c>
      <c r="C162">
        <v>26.6</v>
      </c>
      <c r="D162">
        <v>0</v>
      </c>
      <c r="E162" t="s">
        <v>18</v>
      </c>
      <c r="F162" t="s">
        <v>8</v>
      </c>
      <c r="G162">
        <v>21348.705999999998</v>
      </c>
      <c r="H162">
        <v>113.9</v>
      </c>
      <c r="I162" t="s">
        <v>3</v>
      </c>
      <c r="J162" t="b">
        <v>0</v>
      </c>
      <c r="K162" t="s">
        <v>14</v>
      </c>
      <c r="L162">
        <v>44467.91</v>
      </c>
      <c r="M162" t="str" cm="1">
        <f t="array" ref="M162">_xlfn.IFS(A162&lt;30,"Young",A162&lt;=50,"Adult",A162&gt;50,"Senior")</f>
        <v>Adult</v>
      </c>
    </row>
    <row r="163" spans="1:13" x14ac:dyDescent="0.3">
      <c r="A163">
        <v>18</v>
      </c>
      <c r="B163" t="s">
        <v>11</v>
      </c>
      <c r="C163">
        <v>36.85</v>
      </c>
      <c r="D163">
        <v>0</v>
      </c>
      <c r="E163" t="s">
        <v>18</v>
      </c>
      <c r="F163" t="s">
        <v>7</v>
      </c>
      <c r="G163">
        <v>36149.483500000002</v>
      </c>
      <c r="H163">
        <v>129.4</v>
      </c>
      <c r="I163" t="s">
        <v>0</v>
      </c>
      <c r="J163" t="b">
        <v>1</v>
      </c>
      <c r="K163" t="s">
        <v>15</v>
      </c>
      <c r="L163">
        <v>58989.41</v>
      </c>
      <c r="M163" t="str" cm="1">
        <f t="array" ref="M163">_xlfn.IFS(A163&lt;30,"Young",A163&lt;=50,"Adult",A163&gt;50,"Senior")</f>
        <v>Young</v>
      </c>
    </row>
    <row r="164" spans="1:13" x14ac:dyDescent="0.3">
      <c r="A164">
        <v>54</v>
      </c>
      <c r="B164" t="s">
        <v>12</v>
      </c>
      <c r="C164">
        <v>39.6</v>
      </c>
      <c r="D164">
        <v>1</v>
      </c>
      <c r="E164" t="s">
        <v>19</v>
      </c>
      <c r="F164" t="s">
        <v>6</v>
      </c>
      <c r="G164">
        <v>10450.552</v>
      </c>
      <c r="H164">
        <v>116.7</v>
      </c>
      <c r="I164" t="s">
        <v>1</v>
      </c>
      <c r="J164" t="b">
        <v>1</v>
      </c>
      <c r="K164" t="s">
        <v>16</v>
      </c>
      <c r="L164">
        <v>144647.35</v>
      </c>
      <c r="M164" t="str" cm="1">
        <f t="array" ref="M164">_xlfn.IFS(A164&lt;30,"Young",A164&lt;=50,"Adult",A164&gt;50,"Senior")</f>
        <v>Senior</v>
      </c>
    </row>
    <row r="165" spans="1:13" x14ac:dyDescent="0.3">
      <c r="A165">
        <v>32</v>
      </c>
      <c r="B165" t="s">
        <v>11</v>
      </c>
      <c r="C165">
        <v>29.8</v>
      </c>
      <c r="D165">
        <v>2</v>
      </c>
      <c r="E165" t="s">
        <v>19</v>
      </c>
      <c r="F165" t="s">
        <v>6</v>
      </c>
      <c r="G165">
        <v>5152.134</v>
      </c>
      <c r="H165">
        <v>139</v>
      </c>
      <c r="I165" t="s">
        <v>1</v>
      </c>
      <c r="J165" t="b">
        <v>0</v>
      </c>
      <c r="K165" t="s">
        <v>14</v>
      </c>
      <c r="L165">
        <v>88899.37</v>
      </c>
      <c r="M165" t="str" cm="1">
        <f t="array" ref="M165">_xlfn.IFS(A165&lt;30,"Young",A165&lt;=50,"Adult",A165&gt;50,"Senior")</f>
        <v>Adult</v>
      </c>
    </row>
    <row r="166" spans="1:13" x14ac:dyDescent="0.3">
      <c r="A166">
        <v>37</v>
      </c>
      <c r="B166" t="s">
        <v>12</v>
      </c>
      <c r="C166">
        <v>29.64</v>
      </c>
      <c r="D166">
        <v>0</v>
      </c>
      <c r="E166" t="s">
        <v>19</v>
      </c>
      <c r="F166" t="s">
        <v>8</v>
      </c>
      <c r="G166">
        <v>5028.1466</v>
      </c>
      <c r="H166">
        <v>115.6</v>
      </c>
      <c r="I166" t="s">
        <v>1</v>
      </c>
      <c r="J166" t="b">
        <v>0</v>
      </c>
      <c r="K166" t="s">
        <v>14</v>
      </c>
      <c r="L166">
        <v>144821.19</v>
      </c>
      <c r="M166" t="str" cm="1">
        <f t="array" ref="M166">_xlfn.IFS(A166&lt;30,"Young",A166&lt;=50,"Adult",A166&gt;50,"Senior")</f>
        <v>Adult</v>
      </c>
    </row>
    <row r="167" spans="1:13" x14ac:dyDescent="0.3">
      <c r="A167">
        <v>47</v>
      </c>
      <c r="B167" t="s">
        <v>12</v>
      </c>
      <c r="C167">
        <v>28.215</v>
      </c>
      <c r="D167">
        <v>4</v>
      </c>
      <c r="E167" t="s">
        <v>19</v>
      </c>
      <c r="F167" t="s">
        <v>9</v>
      </c>
      <c r="G167">
        <v>10407.085849999999</v>
      </c>
      <c r="H167">
        <v>130</v>
      </c>
      <c r="I167" t="s">
        <v>2</v>
      </c>
      <c r="J167" t="b">
        <v>0</v>
      </c>
      <c r="K167" t="s">
        <v>16</v>
      </c>
      <c r="L167">
        <v>73489.06</v>
      </c>
      <c r="M167" t="str" cm="1">
        <f t="array" ref="M167">_xlfn.IFS(A167&lt;30,"Young",A167&lt;=50,"Adult",A167&gt;50,"Senior")</f>
        <v>Adult</v>
      </c>
    </row>
    <row r="168" spans="1:13" x14ac:dyDescent="0.3">
      <c r="A168">
        <v>20</v>
      </c>
      <c r="B168" t="s">
        <v>11</v>
      </c>
      <c r="C168">
        <v>37</v>
      </c>
      <c r="D168">
        <v>5</v>
      </c>
      <c r="E168" t="s">
        <v>19</v>
      </c>
      <c r="F168" t="s">
        <v>6</v>
      </c>
      <c r="G168">
        <v>4830.63</v>
      </c>
      <c r="H168">
        <v>121.2</v>
      </c>
      <c r="I168" t="s">
        <v>0</v>
      </c>
      <c r="J168" t="b">
        <v>0</v>
      </c>
      <c r="K168" t="s">
        <v>15</v>
      </c>
      <c r="L168">
        <v>196334.84</v>
      </c>
      <c r="M168" t="str" cm="1">
        <f t="array" ref="M168">_xlfn.IFS(A168&lt;30,"Young",A168&lt;=50,"Adult",A168&gt;50,"Senior")</f>
        <v>Young</v>
      </c>
    </row>
    <row r="169" spans="1:13" x14ac:dyDescent="0.3">
      <c r="A169">
        <v>32</v>
      </c>
      <c r="B169" t="s">
        <v>11</v>
      </c>
      <c r="C169">
        <v>33.155000000000001</v>
      </c>
      <c r="D169">
        <v>3</v>
      </c>
      <c r="E169" t="s">
        <v>19</v>
      </c>
      <c r="F169" t="s">
        <v>8</v>
      </c>
      <c r="G169">
        <v>6128.79745</v>
      </c>
      <c r="H169">
        <v>123.4</v>
      </c>
      <c r="I169" t="s">
        <v>2</v>
      </c>
      <c r="J169" t="b">
        <v>1</v>
      </c>
      <c r="K169" t="s">
        <v>16</v>
      </c>
      <c r="L169">
        <v>105715.38</v>
      </c>
      <c r="M169" t="str" cm="1">
        <f t="array" ref="M169">_xlfn.IFS(A169&lt;30,"Young",A169&lt;=50,"Adult",A169&gt;50,"Senior")</f>
        <v>Adult</v>
      </c>
    </row>
    <row r="170" spans="1:13" x14ac:dyDescent="0.3">
      <c r="A170">
        <v>19</v>
      </c>
      <c r="B170" t="s">
        <v>11</v>
      </c>
      <c r="C170">
        <v>31.824999999999999</v>
      </c>
      <c r="D170">
        <v>1</v>
      </c>
      <c r="E170" t="s">
        <v>19</v>
      </c>
      <c r="F170" t="s">
        <v>8</v>
      </c>
      <c r="G170">
        <v>2719.2797500000001</v>
      </c>
      <c r="H170">
        <v>118.5</v>
      </c>
      <c r="I170" t="s">
        <v>0</v>
      </c>
      <c r="J170" t="b">
        <v>1</v>
      </c>
      <c r="K170" t="s">
        <v>16</v>
      </c>
      <c r="L170">
        <v>64883.56</v>
      </c>
      <c r="M170" t="str" cm="1">
        <f t="array" ref="M170">_xlfn.IFS(A170&lt;30,"Young",A170&lt;=50,"Adult",A170&gt;50,"Senior")</f>
        <v>Young</v>
      </c>
    </row>
    <row r="171" spans="1:13" x14ac:dyDescent="0.3">
      <c r="A171">
        <v>27</v>
      </c>
      <c r="B171" t="s">
        <v>12</v>
      </c>
      <c r="C171">
        <v>18.905000000000001</v>
      </c>
      <c r="D171">
        <v>3</v>
      </c>
      <c r="E171" t="s">
        <v>19</v>
      </c>
      <c r="F171" t="s">
        <v>9</v>
      </c>
      <c r="G171">
        <v>4827.9049500000001</v>
      </c>
      <c r="H171">
        <v>113</v>
      </c>
      <c r="I171" t="s">
        <v>2</v>
      </c>
      <c r="J171" t="b">
        <v>1</v>
      </c>
      <c r="K171" t="s">
        <v>15</v>
      </c>
      <c r="L171">
        <v>31223.81</v>
      </c>
      <c r="M171" t="str" cm="1">
        <f t="array" ref="M171">_xlfn.IFS(A171&lt;30,"Young",A171&lt;=50,"Adult",A171&gt;50,"Senior")</f>
        <v>Young</v>
      </c>
    </row>
    <row r="172" spans="1:13" x14ac:dyDescent="0.3">
      <c r="A172">
        <v>63</v>
      </c>
      <c r="B172" t="s">
        <v>12</v>
      </c>
      <c r="C172">
        <v>41.47</v>
      </c>
      <c r="D172">
        <v>0</v>
      </c>
      <c r="E172" t="s">
        <v>19</v>
      </c>
      <c r="F172" t="s">
        <v>7</v>
      </c>
      <c r="G172">
        <v>13405.390299999999</v>
      </c>
      <c r="H172">
        <v>126.9</v>
      </c>
      <c r="I172" t="s">
        <v>3</v>
      </c>
      <c r="J172" t="b">
        <v>1</v>
      </c>
      <c r="K172" t="s">
        <v>14</v>
      </c>
      <c r="L172">
        <v>67483.13</v>
      </c>
      <c r="M172" t="str" cm="1">
        <f t="array" ref="M172">_xlfn.IFS(A172&lt;30,"Young",A172&lt;=50,"Adult",A172&gt;50,"Senior")</f>
        <v>Senior</v>
      </c>
    </row>
    <row r="173" spans="1:13" x14ac:dyDescent="0.3">
      <c r="A173">
        <v>49</v>
      </c>
      <c r="B173" t="s">
        <v>12</v>
      </c>
      <c r="C173">
        <v>30.3</v>
      </c>
      <c r="D173">
        <v>0</v>
      </c>
      <c r="E173" t="s">
        <v>19</v>
      </c>
      <c r="F173" t="s">
        <v>6</v>
      </c>
      <c r="G173">
        <v>8116.68</v>
      </c>
      <c r="H173">
        <v>113</v>
      </c>
      <c r="I173" t="s">
        <v>3</v>
      </c>
      <c r="J173" t="b">
        <v>0</v>
      </c>
      <c r="K173" t="s">
        <v>16</v>
      </c>
      <c r="L173">
        <v>57347.99</v>
      </c>
      <c r="M173" t="str" cm="1">
        <f t="array" ref="M173">_xlfn.IFS(A173&lt;30,"Young",A173&lt;=50,"Adult",A173&gt;50,"Senior")</f>
        <v>Adult</v>
      </c>
    </row>
    <row r="174" spans="1:13" x14ac:dyDescent="0.3">
      <c r="A174">
        <v>18</v>
      </c>
      <c r="B174" t="s">
        <v>12</v>
      </c>
      <c r="C174">
        <v>15.96</v>
      </c>
      <c r="D174">
        <v>0</v>
      </c>
      <c r="E174" t="s">
        <v>19</v>
      </c>
      <c r="F174" t="s">
        <v>9</v>
      </c>
      <c r="G174">
        <v>1694.7963999999999</v>
      </c>
      <c r="H174">
        <v>134.6</v>
      </c>
      <c r="I174" t="s">
        <v>3</v>
      </c>
      <c r="J174" t="b">
        <v>0</v>
      </c>
      <c r="K174" t="s">
        <v>14</v>
      </c>
      <c r="L174">
        <v>47634.28</v>
      </c>
      <c r="M174" t="str" cm="1">
        <f t="array" ref="M174">_xlfn.IFS(A174&lt;30,"Young",A174&lt;=50,"Adult",A174&gt;50,"Senior")</f>
        <v>Young</v>
      </c>
    </row>
    <row r="175" spans="1:13" x14ac:dyDescent="0.3">
      <c r="A175">
        <v>35</v>
      </c>
      <c r="B175" t="s">
        <v>11</v>
      </c>
      <c r="C175">
        <v>34.799999999999997</v>
      </c>
      <c r="D175">
        <v>1</v>
      </c>
      <c r="E175" t="s">
        <v>19</v>
      </c>
      <c r="F175" t="s">
        <v>6</v>
      </c>
      <c r="G175">
        <v>5246.0469999999996</v>
      </c>
      <c r="H175">
        <v>133</v>
      </c>
      <c r="I175" t="s">
        <v>2</v>
      </c>
      <c r="J175" t="b">
        <v>0</v>
      </c>
      <c r="K175" t="s">
        <v>15</v>
      </c>
      <c r="L175">
        <v>159430.10999999999</v>
      </c>
      <c r="M175" t="str" cm="1">
        <f t="array" ref="M175">_xlfn.IFS(A175&lt;30,"Young",A175&lt;=50,"Adult",A175&gt;50,"Senior")</f>
        <v>Adult</v>
      </c>
    </row>
    <row r="176" spans="1:13" x14ac:dyDescent="0.3">
      <c r="A176">
        <v>24</v>
      </c>
      <c r="B176" t="s">
        <v>11</v>
      </c>
      <c r="C176">
        <v>33.344999999999999</v>
      </c>
      <c r="D176">
        <v>0</v>
      </c>
      <c r="E176" t="s">
        <v>19</v>
      </c>
      <c r="F176" t="s">
        <v>8</v>
      </c>
      <c r="G176">
        <v>2855.4375500000001</v>
      </c>
      <c r="H176">
        <v>138.5</v>
      </c>
      <c r="I176" t="s">
        <v>1</v>
      </c>
      <c r="J176" t="b">
        <v>1</v>
      </c>
      <c r="K176" t="s">
        <v>16</v>
      </c>
      <c r="L176">
        <v>100451.7</v>
      </c>
      <c r="M176" t="str" cm="1">
        <f t="array" ref="M176">_xlfn.IFS(A176&lt;30,"Young",A176&lt;=50,"Adult",A176&gt;50,"Senior")</f>
        <v>Young</v>
      </c>
    </row>
    <row r="177" spans="1:13" x14ac:dyDescent="0.3">
      <c r="A177">
        <v>63</v>
      </c>
      <c r="B177" t="s">
        <v>11</v>
      </c>
      <c r="C177">
        <v>37.700000000000003</v>
      </c>
      <c r="D177">
        <v>0</v>
      </c>
      <c r="E177" t="s">
        <v>18</v>
      </c>
      <c r="F177" t="s">
        <v>6</v>
      </c>
      <c r="G177">
        <v>48824.45</v>
      </c>
      <c r="H177">
        <v>125.4</v>
      </c>
      <c r="I177" t="s">
        <v>3</v>
      </c>
      <c r="J177" t="b">
        <v>0</v>
      </c>
      <c r="K177" t="s">
        <v>15</v>
      </c>
      <c r="L177">
        <v>82715.960000000006</v>
      </c>
      <c r="M177" t="str" cm="1">
        <f t="array" ref="M177">_xlfn.IFS(A177&lt;30,"Young",A177&lt;=50,"Adult",A177&gt;50,"Senior")</f>
        <v>Senior</v>
      </c>
    </row>
    <row r="178" spans="1:13" x14ac:dyDescent="0.3">
      <c r="A178">
        <v>38</v>
      </c>
      <c r="B178" t="s">
        <v>12</v>
      </c>
      <c r="C178">
        <v>27.835000000000001</v>
      </c>
      <c r="D178">
        <v>2</v>
      </c>
      <c r="E178" t="s">
        <v>19</v>
      </c>
      <c r="F178" t="s">
        <v>8</v>
      </c>
      <c r="G178">
        <v>6455.86265</v>
      </c>
      <c r="H178">
        <v>132.19999999999999</v>
      </c>
      <c r="I178" t="s">
        <v>1</v>
      </c>
      <c r="J178" t="b">
        <v>0</v>
      </c>
      <c r="K178" t="s">
        <v>16</v>
      </c>
      <c r="L178">
        <v>153652.18</v>
      </c>
      <c r="M178" t="str" cm="1">
        <f t="array" ref="M178">_xlfn.IFS(A178&lt;30,"Young",A178&lt;=50,"Adult",A178&gt;50,"Senior")</f>
        <v>Adult</v>
      </c>
    </row>
    <row r="179" spans="1:13" x14ac:dyDescent="0.3">
      <c r="A179">
        <v>54</v>
      </c>
      <c r="B179" t="s">
        <v>12</v>
      </c>
      <c r="C179">
        <v>29.2</v>
      </c>
      <c r="D179">
        <v>1</v>
      </c>
      <c r="E179" t="s">
        <v>19</v>
      </c>
      <c r="F179" t="s">
        <v>6</v>
      </c>
      <c r="G179">
        <v>10436.096</v>
      </c>
      <c r="H179">
        <v>127.1</v>
      </c>
      <c r="I179" t="s">
        <v>2</v>
      </c>
      <c r="J179" t="b">
        <v>0</v>
      </c>
      <c r="K179" t="s">
        <v>16</v>
      </c>
      <c r="L179">
        <v>87984.8</v>
      </c>
      <c r="M179" t="str" cm="1">
        <f t="array" ref="M179">_xlfn.IFS(A179&lt;30,"Young",A179&lt;=50,"Adult",A179&gt;50,"Senior")</f>
        <v>Senior</v>
      </c>
    </row>
    <row r="180" spans="1:13" x14ac:dyDescent="0.3">
      <c r="A180">
        <v>46</v>
      </c>
      <c r="B180" t="s">
        <v>11</v>
      </c>
      <c r="C180">
        <v>28.9</v>
      </c>
      <c r="D180">
        <v>2</v>
      </c>
      <c r="E180" t="s">
        <v>19</v>
      </c>
      <c r="F180" t="s">
        <v>6</v>
      </c>
      <c r="G180">
        <v>8823.2790000000005</v>
      </c>
      <c r="H180">
        <v>129.19999999999999</v>
      </c>
      <c r="I180" t="s">
        <v>0</v>
      </c>
      <c r="J180" t="b">
        <v>1</v>
      </c>
      <c r="K180" t="s">
        <v>15</v>
      </c>
      <c r="L180">
        <v>76436.09</v>
      </c>
      <c r="M180" t="str" cm="1">
        <f t="array" ref="M180">_xlfn.IFS(A180&lt;30,"Young",A180&lt;=50,"Adult",A180&gt;50,"Senior")</f>
        <v>Adult</v>
      </c>
    </row>
    <row r="181" spans="1:13" x14ac:dyDescent="0.3">
      <c r="A181">
        <v>41</v>
      </c>
      <c r="B181" t="s">
        <v>11</v>
      </c>
      <c r="C181">
        <v>33.155000000000001</v>
      </c>
      <c r="D181">
        <v>3</v>
      </c>
      <c r="E181" t="s">
        <v>19</v>
      </c>
      <c r="F181" t="s">
        <v>9</v>
      </c>
      <c r="G181">
        <v>8538.28845</v>
      </c>
      <c r="H181">
        <v>114.8</v>
      </c>
      <c r="I181" t="s">
        <v>3</v>
      </c>
      <c r="J181" t="b">
        <v>1</v>
      </c>
      <c r="K181" t="s">
        <v>16</v>
      </c>
      <c r="L181">
        <v>95273.55</v>
      </c>
      <c r="M181" t="str" cm="1">
        <f t="array" ref="M181">_xlfn.IFS(A181&lt;30,"Young",A181&lt;=50,"Adult",A181&gt;50,"Senior")</f>
        <v>Adult</v>
      </c>
    </row>
    <row r="182" spans="1:13" x14ac:dyDescent="0.3">
      <c r="A182">
        <v>58</v>
      </c>
      <c r="B182" t="s">
        <v>12</v>
      </c>
      <c r="C182">
        <v>28.594999999999999</v>
      </c>
      <c r="D182">
        <v>0</v>
      </c>
      <c r="E182" t="s">
        <v>19</v>
      </c>
      <c r="F182" t="s">
        <v>8</v>
      </c>
      <c r="G182">
        <v>11735.87905</v>
      </c>
      <c r="H182">
        <v>112.1</v>
      </c>
      <c r="I182" t="s">
        <v>3</v>
      </c>
      <c r="J182" t="b">
        <v>0</v>
      </c>
      <c r="K182" t="s">
        <v>14</v>
      </c>
      <c r="L182">
        <v>49621.32</v>
      </c>
      <c r="M182" t="str" cm="1">
        <f t="array" ref="M182">_xlfn.IFS(A182&lt;30,"Young",A182&lt;=50,"Adult",A182&gt;50,"Senior")</f>
        <v>Senior</v>
      </c>
    </row>
    <row r="183" spans="1:13" x14ac:dyDescent="0.3">
      <c r="A183">
        <v>18</v>
      </c>
      <c r="B183" t="s">
        <v>11</v>
      </c>
      <c r="C183">
        <v>38.28</v>
      </c>
      <c r="D183">
        <v>0</v>
      </c>
      <c r="E183" t="s">
        <v>19</v>
      </c>
      <c r="F183" t="s">
        <v>7</v>
      </c>
      <c r="G183">
        <v>1631.8212000000001</v>
      </c>
      <c r="H183">
        <v>116.3</v>
      </c>
      <c r="I183" t="s">
        <v>3</v>
      </c>
      <c r="J183" t="b">
        <v>1</v>
      </c>
      <c r="K183" t="s">
        <v>15</v>
      </c>
      <c r="L183">
        <v>82691.34</v>
      </c>
      <c r="M183" t="str" cm="1">
        <f t="array" ref="M183">_xlfn.IFS(A183&lt;30,"Young",A183&lt;=50,"Adult",A183&gt;50,"Senior")</f>
        <v>Young</v>
      </c>
    </row>
    <row r="184" spans="1:13" x14ac:dyDescent="0.3">
      <c r="A184">
        <v>22</v>
      </c>
      <c r="B184" t="s">
        <v>12</v>
      </c>
      <c r="C184">
        <v>19.95</v>
      </c>
      <c r="D184">
        <v>3</v>
      </c>
      <c r="E184" t="s">
        <v>19</v>
      </c>
      <c r="F184" t="s">
        <v>9</v>
      </c>
      <c r="G184">
        <v>4005.4225000000001</v>
      </c>
      <c r="H184">
        <v>139.80000000000001</v>
      </c>
      <c r="I184" t="s">
        <v>2</v>
      </c>
      <c r="J184" t="b">
        <v>0</v>
      </c>
      <c r="K184" t="s">
        <v>14</v>
      </c>
      <c r="L184">
        <v>190346.56</v>
      </c>
      <c r="M184" t="str" cm="1">
        <f t="array" ref="M184">_xlfn.IFS(A184&lt;30,"Young",A184&lt;=50,"Adult",A184&gt;50,"Senior")</f>
        <v>Young</v>
      </c>
    </row>
    <row r="185" spans="1:13" x14ac:dyDescent="0.3">
      <c r="A185">
        <v>44</v>
      </c>
      <c r="B185" t="s">
        <v>11</v>
      </c>
      <c r="C185">
        <v>26.41</v>
      </c>
      <c r="D185">
        <v>0</v>
      </c>
      <c r="E185" t="s">
        <v>19</v>
      </c>
      <c r="F185" t="s">
        <v>8</v>
      </c>
      <c r="G185">
        <v>7419.4778999999999</v>
      </c>
      <c r="H185">
        <v>134.9</v>
      </c>
      <c r="I185" t="s">
        <v>1</v>
      </c>
      <c r="J185" t="b">
        <v>1</v>
      </c>
      <c r="K185" t="s">
        <v>15</v>
      </c>
      <c r="L185">
        <v>35788.199999999997</v>
      </c>
      <c r="M185" t="str" cm="1">
        <f t="array" ref="M185">_xlfn.IFS(A185&lt;30,"Young",A185&lt;=50,"Adult",A185&gt;50,"Senior")</f>
        <v>Adult</v>
      </c>
    </row>
    <row r="186" spans="1:13" x14ac:dyDescent="0.3">
      <c r="A186">
        <v>44</v>
      </c>
      <c r="B186" t="s">
        <v>12</v>
      </c>
      <c r="C186">
        <v>30.69</v>
      </c>
      <c r="D186">
        <v>2</v>
      </c>
      <c r="E186" t="s">
        <v>19</v>
      </c>
      <c r="F186" t="s">
        <v>7</v>
      </c>
      <c r="G186">
        <v>7731.4270999999999</v>
      </c>
      <c r="H186">
        <v>130.4</v>
      </c>
      <c r="I186" t="s">
        <v>2</v>
      </c>
      <c r="J186" t="b">
        <v>1</v>
      </c>
      <c r="K186" t="s">
        <v>15</v>
      </c>
      <c r="L186">
        <v>137112.72</v>
      </c>
      <c r="M186" t="str" cm="1">
        <f t="array" ref="M186">_xlfn.IFS(A186&lt;30,"Young",A186&lt;=50,"Adult",A186&gt;50,"Senior")</f>
        <v>Adult</v>
      </c>
    </row>
    <row r="187" spans="1:13" x14ac:dyDescent="0.3">
      <c r="A187">
        <v>36</v>
      </c>
      <c r="B187" t="s">
        <v>12</v>
      </c>
      <c r="C187">
        <v>41.895000000000003</v>
      </c>
      <c r="D187">
        <v>3</v>
      </c>
      <c r="E187" t="s">
        <v>18</v>
      </c>
      <c r="F187" t="s">
        <v>9</v>
      </c>
      <c r="G187">
        <v>43753.337050000002</v>
      </c>
      <c r="H187">
        <v>133</v>
      </c>
      <c r="I187" t="s">
        <v>1</v>
      </c>
      <c r="J187" t="b">
        <v>0</v>
      </c>
      <c r="K187" t="s">
        <v>16</v>
      </c>
      <c r="L187">
        <v>57868.94</v>
      </c>
      <c r="M187" t="str" cm="1">
        <f t="array" ref="M187">_xlfn.IFS(A187&lt;30,"Young",A187&lt;=50,"Adult",A187&gt;50,"Senior")</f>
        <v>Adult</v>
      </c>
    </row>
    <row r="188" spans="1:13" x14ac:dyDescent="0.3">
      <c r="A188">
        <v>26</v>
      </c>
      <c r="B188" t="s">
        <v>11</v>
      </c>
      <c r="C188">
        <v>29.92</v>
      </c>
      <c r="D188">
        <v>2</v>
      </c>
      <c r="E188" t="s">
        <v>19</v>
      </c>
      <c r="F188" t="s">
        <v>7</v>
      </c>
      <c r="G188">
        <v>3981.9767999999999</v>
      </c>
      <c r="H188">
        <v>126.1</v>
      </c>
      <c r="I188" t="s">
        <v>2</v>
      </c>
      <c r="J188" t="b">
        <v>0</v>
      </c>
      <c r="K188" t="s">
        <v>16</v>
      </c>
      <c r="L188">
        <v>82032.789999999994</v>
      </c>
      <c r="M188" t="str" cm="1">
        <f t="array" ref="M188">_xlfn.IFS(A188&lt;30,"Young",A188&lt;=50,"Adult",A188&gt;50,"Senior")</f>
        <v>Young</v>
      </c>
    </row>
    <row r="189" spans="1:13" x14ac:dyDescent="0.3">
      <c r="A189">
        <v>30</v>
      </c>
      <c r="B189" t="s">
        <v>11</v>
      </c>
      <c r="C189">
        <v>30.9</v>
      </c>
      <c r="D189">
        <v>3</v>
      </c>
      <c r="E189" t="s">
        <v>19</v>
      </c>
      <c r="F189" t="s">
        <v>6</v>
      </c>
      <c r="G189">
        <v>5325.6509999999998</v>
      </c>
      <c r="H189">
        <v>113.9</v>
      </c>
      <c r="I189" t="s">
        <v>2</v>
      </c>
      <c r="J189" t="b">
        <v>1</v>
      </c>
      <c r="K189" t="s">
        <v>14</v>
      </c>
      <c r="L189">
        <v>120336.4</v>
      </c>
      <c r="M189" t="str" cm="1">
        <f t="array" ref="M189">_xlfn.IFS(A189&lt;30,"Young",A189&lt;=50,"Adult",A189&gt;50,"Senior")</f>
        <v>Adult</v>
      </c>
    </row>
    <row r="190" spans="1:13" x14ac:dyDescent="0.3">
      <c r="A190">
        <v>41</v>
      </c>
      <c r="B190" t="s">
        <v>11</v>
      </c>
      <c r="C190">
        <v>32.200000000000003</v>
      </c>
      <c r="D190">
        <v>1</v>
      </c>
      <c r="E190" t="s">
        <v>19</v>
      </c>
      <c r="F190" t="s">
        <v>6</v>
      </c>
      <c r="G190">
        <v>6775.9610000000002</v>
      </c>
      <c r="H190">
        <v>129</v>
      </c>
      <c r="I190" t="s">
        <v>3</v>
      </c>
      <c r="J190" t="b">
        <v>0</v>
      </c>
      <c r="K190" t="s">
        <v>16</v>
      </c>
      <c r="L190">
        <v>148291.60999999999</v>
      </c>
      <c r="M190" t="str" cm="1">
        <f t="array" ref="M190">_xlfn.IFS(A190&lt;30,"Young",A190&lt;=50,"Adult",A190&gt;50,"Senior")</f>
        <v>Adult</v>
      </c>
    </row>
    <row r="191" spans="1:13" x14ac:dyDescent="0.3">
      <c r="A191">
        <v>29</v>
      </c>
      <c r="B191" t="s">
        <v>11</v>
      </c>
      <c r="C191">
        <v>32.11</v>
      </c>
      <c r="D191">
        <v>2</v>
      </c>
      <c r="E191" t="s">
        <v>19</v>
      </c>
      <c r="F191" t="s">
        <v>8</v>
      </c>
      <c r="G191">
        <v>4922.9159</v>
      </c>
      <c r="H191">
        <v>137.30000000000001</v>
      </c>
      <c r="I191" t="s">
        <v>1</v>
      </c>
      <c r="J191" t="b">
        <v>0</v>
      </c>
      <c r="K191" t="s">
        <v>16</v>
      </c>
      <c r="L191">
        <v>119312.27</v>
      </c>
      <c r="M191" t="str" cm="1">
        <f t="array" ref="M191">_xlfn.IFS(A191&lt;30,"Young",A191&lt;=50,"Adult",A191&gt;50,"Senior")</f>
        <v>Young</v>
      </c>
    </row>
    <row r="192" spans="1:13" x14ac:dyDescent="0.3">
      <c r="A192">
        <v>61</v>
      </c>
      <c r="B192" t="s">
        <v>12</v>
      </c>
      <c r="C192">
        <v>31.57</v>
      </c>
      <c r="D192">
        <v>0</v>
      </c>
      <c r="E192" t="s">
        <v>19</v>
      </c>
      <c r="F192" t="s">
        <v>7</v>
      </c>
      <c r="G192">
        <v>12557.605299999999</v>
      </c>
      <c r="H192">
        <v>120.1</v>
      </c>
      <c r="I192" t="s">
        <v>2</v>
      </c>
      <c r="J192" t="b">
        <v>1</v>
      </c>
      <c r="K192" t="s">
        <v>14</v>
      </c>
      <c r="L192">
        <v>72459.8</v>
      </c>
      <c r="M192" t="str" cm="1">
        <f t="array" ref="M192">_xlfn.IFS(A192&lt;30,"Young",A192&lt;=50,"Adult",A192&gt;50,"Senior")</f>
        <v>Senior</v>
      </c>
    </row>
    <row r="193" spans="1:13" x14ac:dyDescent="0.3">
      <c r="A193">
        <v>36</v>
      </c>
      <c r="B193" t="s">
        <v>11</v>
      </c>
      <c r="C193">
        <v>26.2</v>
      </c>
      <c r="D193">
        <v>0</v>
      </c>
      <c r="E193" t="s">
        <v>19</v>
      </c>
      <c r="F193" t="s">
        <v>6</v>
      </c>
      <c r="G193">
        <v>4883.866</v>
      </c>
      <c r="H193">
        <v>132</v>
      </c>
      <c r="I193" t="s">
        <v>1</v>
      </c>
      <c r="J193" t="b">
        <v>1</v>
      </c>
      <c r="K193" t="s">
        <v>14</v>
      </c>
      <c r="L193">
        <v>130061.18</v>
      </c>
      <c r="M193" t="str" cm="1">
        <f t="array" ref="M193">_xlfn.IFS(A193&lt;30,"Young",A193&lt;=50,"Adult",A193&gt;50,"Senior")</f>
        <v>Adult</v>
      </c>
    </row>
    <row r="194" spans="1:13" x14ac:dyDescent="0.3">
      <c r="A194">
        <v>25</v>
      </c>
      <c r="B194" t="s">
        <v>12</v>
      </c>
      <c r="C194">
        <v>25.74</v>
      </c>
      <c r="D194">
        <v>0</v>
      </c>
      <c r="E194" t="s">
        <v>19</v>
      </c>
      <c r="F194" t="s">
        <v>7</v>
      </c>
      <c r="G194">
        <v>2137.6536000000001</v>
      </c>
      <c r="H194">
        <v>118.5</v>
      </c>
      <c r="I194" t="s">
        <v>0</v>
      </c>
      <c r="J194" t="b">
        <v>0</v>
      </c>
      <c r="K194" t="s">
        <v>16</v>
      </c>
      <c r="L194">
        <v>78851.39</v>
      </c>
      <c r="M194" t="str" cm="1">
        <f t="array" ref="M194">_xlfn.IFS(A194&lt;30,"Young",A194&lt;=50,"Adult",A194&gt;50,"Senior")</f>
        <v>Young</v>
      </c>
    </row>
    <row r="195" spans="1:13" x14ac:dyDescent="0.3">
      <c r="A195">
        <v>56</v>
      </c>
      <c r="B195" t="s">
        <v>11</v>
      </c>
      <c r="C195">
        <v>26.6</v>
      </c>
      <c r="D195">
        <v>1</v>
      </c>
      <c r="E195" t="s">
        <v>19</v>
      </c>
      <c r="F195" t="s">
        <v>8</v>
      </c>
      <c r="G195">
        <v>12044.342000000001</v>
      </c>
      <c r="H195">
        <v>113.8</v>
      </c>
      <c r="I195" t="s">
        <v>2</v>
      </c>
      <c r="J195" t="b">
        <v>0</v>
      </c>
      <c r="K195" t="s">
        <v>14</v>
      </c>
      <c r="L195">
        <v>65797.67</v>
      </c>
      <c r="M195" t="str" cm="1">
        <f t="array" ref="M195">_xlfn.IFS(A195&lt;30,"Young",A195&lt;=50,"Adult",A195&gt;50,"Senior")</f>
        <v>Senior</v>
      </c>
    </row>
    <row r="196" spans="1:13" x14ac:dyDescent="0.3">
      <c r="A196">
        <v>18</v>
      </c>
      <c r="B196" t="s">
        <v>12</v>
      </c>
      <c r="C196">
        <v>34.43</v>
      </c>
      <c r="D196">
        <v>0</v>
      </c>
      <c r="E196" t="s">
        <v>19</v>
      </c>
      <c r="F196" t="s">
        <v>7</v>
      </c>
      <c r="G196">
        <v>1137.4697000000001</v>
      </c>
      <c r="H196">
        <v>118.5</v>
      </c>
      <c r="I196" t="s">
        <v>0</v>
      </c>
      <c r="J196" t="b">
        <v>0</v>
      </c>
      <c r="K196" t="s">
        <v>14</v>
      </c>
      <c r="L196">
        <v>155459.63</v>
      </c>
      <c r="M196" t="str" cm="1">
        <f t="array" ref="M196">_xlfn.IFS(A196&lt;30,"Young",A196&lt;=50,"Adult",A196&gt;50,"Senior")</f>
        <v>Young</v>
      </c>
    </row>
    <row r="197" spans="1:13" x14ac:dyDescent="0.3">
      <c r="A197">
        <v>19</v>
      </c>
      <c r="B197" t="s">
        <v>12</v>
      </c>
      <c r="C197">
        <v>30.59</v>
      </c>
      <c r="D197">
        <v>0</v>
      </c>
      <c r="E197" t="s">
        <v>19</v>
      </c>
      <c r="F197" t="s">
        <v>8</v>
      </c>
      <c r="G197">
        <v>1639.5631000000001</v>
      </c>
      <c r="H197">
        <v>133.69999999999999</v>
      </c>
      <c r="I197" t="s">
        <v>3</v>
      </c>
      <c r="J197" t="b">
        <v>0</v>
      </c>
      <c r="K197" t="s">
        <v>15</v>
      </c>
      <c r="L197">
        <v>93529.600000000006</v>
      </c>
      <c r="M197" t="str" cm="1">
        <f t="array" ref="M197">_xlfn.IFS(A197&lt;30,"Young",A197&lt;=50,"Adult",A197&gt;50,"Senior")</f>
        <v>Young</v>
      </c>
    </row>
    <row r="198" spans="1:13" x14ac:dyDescent="0.3">
      <c r="A198">
        <v>39</v>
      </c>
      <c r="B198" t="s">
        <v>11</v>
      </c>
      <c r="C198">
        <v>32.799999999999997</v>
      </c>
      <c r="D198">
        <v>0</v>
      </c>
      <c r="E198" t="s">
        <v>19</v>
      </c>
      <c r="F198" t="s">
        <v>6</v>
      </c>
      <c r="G198">
        <v>5649.7150000000001</v>
      </c>
      <c r="H198">
        <v>125.9</v>
      </c>
      <c r="I198" t="s">
        <v>3</v>
      </c>
      <c r="J198" t="b">
        <v>1</v>
      </c>
      <c r="K198" t="s">
        <v>16</v>
      </c>
      <c r="L198">
        <v>55462.29</v>
      </c>
      <c r="M198" t="str" cm="1">
        <f t="array" ref="M198">_xlfn.IFS(A198&lt;30,"Young",A198&lt;=50,"Adult",A198&gt;50,"Senior")</f>
        <v>Adult</v>
      </c>
    </row>
    <row r="199" spans="1:13" x14ac:dyDescent="0.3">
      <c r="A199">
        <v>45</v>
      </c>
      <c r="B199" t="s">
        <v>11</v>
      </c>
      <c r="C199">
        <v>28.6</v>
      </c>
      <c r="D199">
        <v>2</v>
      </c>
      <c r="E199" t="s">
        <v>19</v>
      </c>
      <c r="F199" t="s">
        <v>7</v>
      </c>
      <c r="G199">
        <v>8516.8289999999997</v>
      </c>
      <c r="H199">
        <v>137.1</v>
      </c>
      <c r="I199" t="s">
        <v>3</v>
      </c>
      <c r="J199" t="b">
        <v>0</v>
      </c>
      <c r="K199" t="s">
        <v>16</v>
      </c>
      <c r="L199">
        <v>61138.86</v>
      </c>
      <c r="M199" t="str" cm="1">
        <f t="array" ref="M199">_xlfn.IFS(A199&lt;30,"Young",A199&lt;=50,"Adult",A199&gt;50,"Senior")</f>
        <v>Adult</v>
      </c>
    </row>
    <row r="200" spans="1:13" x14ac:dyDescent="0.3">
      <c r="A200">
        <v>51</v>
      </c>
      <c r="B200" t="s">
        <v>11</v>
      </c>
      <c r="C200">
        <v>18.05</v>
      </c>
      <c r="D200">
        <v>0</v>
      </c>
      <c r="E200" t="s">
        <v>19</v>
      </c>
      <c r="F200" t="s">
        <v>8</v>
      </c>
      <c r="G200">
        <v>9644.2525000000005</v>
      </c>
      <c r="H200">
        <v>126</v>
      </c>
      <c r="I200" t="s">
        <v>3</v>
      </c>
      <c r="J200" t="b">
        <v>1</v>
      </c>
      <c r="K200" t="s">
        <v>14</v>
      </c>
      <c r="L200">
        <v>143534.25</v>
      </c>
      <c r="M200" t="str" cm="1">
        <f t="array" ref="M200">_xlfn.IFS(A200&lt;30,"Young",A200&lt;=50,"Adult",A200&gt;50,"Senior")</f>
        <v>Senior</v>
      </c>
    </row>
    <row r="201" spans="1:13" x14ac:dyDescent="0.3">
      <c r="A201">
        <v>64</v>
      </c>
      <c r="B201" t="s">
        <v>11</v>
      </c>
      <c r="C201">
        <v>39.33</v>
      </c>
      <c r="D201">
        <v>0</v>
      </c>
      <c r="E201" t="s">
        <v>19</v>
      </c>
      <c r="F201" t="s">
        <v>9</v>
      </c>
      <c r="G201">
        <v>14901.5167</v>
      </c>
      <c r="H201">
        <v>113.8</v>
      </c>
      <c r="I201" t="s">
        <v>1</v>
      </c>
      <c r="J201" t="b">
        <v>1</v>
      </c>
      <c r="K201" t="s">
        <v>15</v>
      </c>
      <c r="L201">
        <v>34190.129999999997</v>
      </c>
      <c r="M201" t="str" cm="1">
        <f t="array" ref="M201">_xlfn.IFS(A201&lt;30,"Young",A201&lt;=50,"Adult",A201&gt;50,"Senior")</f>
        <v>Senior</v>
      </c>
    </row>
    <row r="202" spans="1:13" x14ac:dyDescent="0.3">
      <c r="A202">
        <v>19</v>
      </c>
      <c r="B202" t="s">
        <v>11</v>
      </c>
      <c r="C202">
        <v>32.11</v>
      </c>
      <c r="D202">
        <v>0</v>
      </c>
      <c r="E202" t="s">
        <v>19</v>
      </c>
      <c r="F202" t="s">
        <v>8</v>
      </c>
      <c r="G202">
        <v>2130.6759000000002</v>
      </c>
      <c r="H202">
        <v>136.5</v>
      </c>
      <c r="I202" t="s">
        <v>3</v>
      </c>
      <c r="J202" t="b">
        <v>0</v>
      </c>
      <c r="K202" t="s">
        <v>16</v>
      </c>
      <c r="L202">
        <v>147890.10999999999</v>
      </c>
      <c r="M202" t="str" cm="1">
        <f t="array" ref="M202">_xlfn.IFS(A202&lt;30,"Young",A202&lt;=50,"Adult",A202&gt;50,"Senior")</f>
        <v>Young</v>
      </c>
    </row>
    <row r="203" spans="1:13" x14ac:dyDescent="0.3">
      <c r="A203">
        <v>48</v>
      </c>
      <c r="B203" t="s">
        <v>11</v>
      </c>
      <c r="C203">
        <v>32.229999999999997</v>
      </c>
      <c r="D203">
        <v>1</v>
      </c>
      <c r="E203" t="s">
        <v>19</v>
      </c>
      <c r="F203" t="s">
        <v>7</v>
      </c>
      <c r="G203">
        <v>8871.1517000000003</v>
      </c>
      <c r="H203">
        <v>132</v>
      </c>
      <c r="I203" t="s">
        <v>2</v>
      </c>
      <c r="J203" t="b">
        <v>0</v>
      </c>
      <c r="K203" t="s">
        <v>16</v>
      </c>
      <c r="L203">
        <v>186490.12</v>
      </c>
      <c r="M203" t="str" cm="1">
        <f t="array" ref="M203">_xlfn.IFS(A203&lt;30,"Young",A203&lt;=50,"Adult",A203&gt;50,"Senior")</f>
        <v>Adult</v>
      </c>
    </row>
    <row r="204" spans="1:13" x14ac:dyDescent="0.3">
      <c r="A204">
        <v>60</v>
      </c>
      <c r="B204" t="s">
        <v>11</v>
      </c>
      <c r="C204">
        <v>24.035</v>
      </c>
      <c r="D204">
        <v>0</v>
      </c>
      <c r="E204" t="s">
        <v>19</v>
      </c>
      <c r="F204" t="s">
        <v>8</v>
      </c>
      <c r="G204">
        <v>13012.20865</v>
      </c>
      <c r="H204">
        <v>113.6</v>
      </c>
      <c r="I204" t="s">
        <v>3</v>
      </c>
      <c r="J204" t="b">
        <v>1</v>
      </c>
      <c r="K204" t="s">
        <v>14</v>
      </c>
      <c r="L204">
        <v>185846.73</v>
      </c>
      <c r="M204" t="str" cm="1">
        <f t="array" ref="M204">_xlfn.IFS(A204&lt;30,"Young",A204&lt;=50,"Adult",A204&gt;50,"Senior")</f>
        <v>Senior</v>
      </c>
    </row>
    <row r="205" spans="1:13" x14ac:dyDescent="0.3">
      <c r="A205">
        <v>27</v>
      </c>
      <c r="B205" t="s">
        <v>11</v>
      </c>
      <c r="C205">
        <v>36.08</v>
      </c>
      <c r="D205">
        <v>0</v>
      </c>
      <c r="E205" t="s">
        <v>18</v>
      </c>
      <c r="F205" t="s">
        <v>7</v>
      </c>
      <c r="G205">
        <v>37133.898200000003</v>
      </c>
      <c r="H205">
        <v>113.8</v>
      </c>
      <c r="I205" t="s">
        <v>0</v>
      </c>
      <c r="J205" t="b">
        <v>0</v>
      </c>
      <c r="K205" t="s">
        <v>15</v>
      </c>
      <c r="L205">
        <v>85366.63</v>
      </c>
      <c r="M205" t="str" cm="1">
        <f t="array" ref="M205">_xlfn.IFS(A205&lt;30,"Young",A205&lt;=50,"Adult",A205&gt;50,"Senior")</f>
        <v>Young</v>
      </c>
    </row>
    <row r="206" spans="1:13" x14ac:dyDescent="0.3">
      <c r="A206">
        <v>46</v>
      </c>
      <c r="B206" t="s">
        <v>12</v>
      </c>
      <c r="C206">
        <v>22.3</v>
      </c>
      <c r="D206">
        <v>0</v>
      </c>
      <c r="E206" t="s">
        <v>19</v>
      </c>
      <c r="F206" t="s">
        <v>6</v>
      </c>
      <c r="G206">
        <v>7147.1049999999996</v>
      </c>
      <c r="H206">
        <v>138.5</v>
      </c>
      <c r="I206" t="s">
        <v>1</v>
      </c>
      <c r="J206" t="b">
        <v>0</v>
      </c>
      <c r="K206" t="s">
        <v>15</v>
      </c>
      <c r="L206">
        <v>89954.51</v>
      </c>
      <c r="M206" t="str" cm="1">
        <f t="array" ref="M206">_xlfn.IFS(A206&lt;30,"Young",A206&lt;=50,"Adult",A206&gt;50,"Senior")</f>
        <v>Adult</v>
      </c>
    </row>
    <row r="207" spans="1:13" x14ac:dyDescent="0.3">
      <c r="A207">
        <v>28</v>
      </c>
      <c r="B207" t="s">
        <v>11</v>
      </c>
      <c r="C207">
        <v>28.88</v>
      </c>
      <c r="D207">
        <v>1</v>
      </c>
      <c r="E207" t="s">
        <v>19</v>
      </c>
      <c r="F207" t="s">
        <v>9</v>
      </c>
      <c r="G207">
        <v>4337.7352000000001</v>
      </c>
      <c r="H207">
        <v>118.2</v>
      </c>
      <c r="I207" t="s">
        <v>3</v>
      </c>
      <c r="J207" t="b">
        <v>0</v>
      </c>
      <c r="K207" t="s">
        <v>14</v>
      </c>
      <c r="L207">
        <v>34654.49</v>
      </c>
      <c r="M207" t="str" cm="1">
        <f t="array" ref="M207">_xlfn.IFS(A207&lt;30,"Young",A207&lt;=50,"Adult",A207&gt;50,"Senior")</f>
        <v>Young</v>
      </c>
    </row>
    <row r="208" spans="1:13" x14ac:dyDescent="0.3">
      <c r="A208">
        <v>59</v>
      </c>
      <c r="B208" t="s">
        <v>12</v>
      </c>
      <c r="C208">
        <v>26.4</v>
      </c>
      <c r="D208">
        <v>0</v>
      </c>
      <c r="E208" t="s">
        <v>19</v>
      </c>
      <c r="F208" t="s">
        <v>7</v>
      </c>
      <c r="G208">
        <v>11743.299000000001</v>
      </c>
      <c r="H208">
        <v>116.4</v>
      </c>
      <c r="I208" t="s">
        <v>1</v>
      </c>
      <c r="J208" t="b">
        <v>0</v>
      </c>
      <c r="K208" t="s">
        <v>15</v>
      </c>
      <c r="L208">
        <v>81984.399999999994</v>
      </c>
      <c r="M208" t="str" cm="1">
        <f t="array" ref="M208">_xlfn.IFS(A208&lt;30,"Young",A208&lt;=50,"Adult",A208&gt;50,"Senior")</f>
        <v>Senior</v>
      </c>
    </row>
    <row r="209" spans="1:13" x14ac:dyDescent="0.3">
      <c r="A209">
        <v>35</v>
      </c>
      <c r="B209" t="s">
        <v>12</v>
      </c>
      <c r="C209">
        <v>27.74</v>
      </c>
      <c r="D209">
        <v>2</v>
      </c>
      <c r="E209" t="s">
        <v>18</v>
      </c>
      <c r="F209" t="s">
        <v>9</v>
      </c>
      <c r="G209">
        <v>20984.0936</v>
      </c>
      <c r="H209">
        <v>130.19999999999999</v>
      </c>
      <c r="I209" t="s">
        <v>1</v>
      </c>
      <c r="J209" t="b">
        <v>0</v>
      </c>
      <c r="K209" t="s">
        <v>14</v>
      </c>
      <c r="L209">
        <v>54148.22</v>
      </c>
      <c r="M209" t="str" cm="1">
        <f t="array" ref="M209">_xlfn.IFS(A209&lt;30,"Young",A209&lt;=50,"Adult",A209&gt;50,"Senior")</f>
        <v>Adult</v>
      </c>
    </row>
    <row r="210" spans="1:13" x14ac:dyDescent="0.3">
      <c r="A210">
        <v>63</v>
      </c>
      <c r="B210" t="s">
        <v>11</v>
      </c>
      <c r="C210">
        <v>31.8</v>
      </c>
      <c r="D210">
        <v>0</v>
      </c>
      <c r="E210" t="s">
        <v>19</v>
      </c>
      <c r="F210" t="s">
        <v>6</v>
      </c>
      <c r="G210">
        <v>13880.949000000001</v>
      </c>
      <c r="H210">
        <v>122</v>
      </c>
      <c r="I210" t="s">
        <v>2</v>
      </c>
      <c r="J210" t="b">
        <v>0</v>
      </c>
      <c r="K210" t="s">
        <v>14</v>
      </c>
      <c r="L210">
        <v>165129.35999999999</v>
      </c>
      <c r="M210" t="str" cm="1">
        <f t="array" ref="M210">_xlfn.IFS(A210&lt;30,"Young",A210&lt;=50,"Adult",A210&gt;50,"Senior")</f>
        <v>Senior</v>
      </c>
    </row>
    <row r="211" spans="1:13" x14ac:dyDescent="0.3">
      <c r="A211">
        <v>40</v>
      </c>
      <c r="B211" t="s">
        <v>12</v>
      </c>
      <c r="C211">
        <v>41.23</v>
      </c>
      <c r="D211">
        <v>1</v>
      </c>
      <c r="E211" t="s">
        <v>19</v>
      </c>
      <c r="F211" t="s">
        <v>9</v>
      </c>
      <c r="G211">
        <v>6610.1097</v>
      </c>
      <c r="H211">
        <v>138</v>
      </c>
      <c r="I211" t="s">
        <v>2</v>
      </c>
      <c r="J211" t="b">
        <v>0</v>
      </c>
      <c r="K211" t="s">
        <v>14</v>
      </c>
      <c r="L211">
        <v>141884.49</v>
      </c>
      <c r="M211" t="str" cm="1">
        <f t="array" ref="M211">_xlfn.IFS(A211&lt;30,"Young",A211&lt;=50,"Adult",A211&gt;50,"Senior")</f>
        <v>Adult</v>
      </c>
    </row>
    <row r="212" spans="1:13" x14ac:dyDescent="0.3">
      <c r="A212">
        <v>20</v>
      </c>
      <c r="B212" t="s">
        <v>12</v>
      </c>
      <c r="C212">
        <v>33</v>
      </c>
      <c r="D212">
        <v>1</v>
      </c>
      <c r="E212" t="s">
        <v>19</v>
      </c>
      <c r="F212" t="s">
        <v>6</v>
      </c>
      <c r="G212">
        <v>1980.07</v>
      </c>
      <c r="H212">
        <v>114.2</v>
      </c>
      <c r="I212" t="s">
        <v>0</v>
      </c>
      <c r="J212" t="b">
        <v>0</v>
      </c>
      <c r="K212" t="s">
        <v>15</v>
      </c>
      <c r="L212">
        <v>101085.75999999999</v>
      </c>
      <c r="M212" t="str" cm="1">
        <f t="array" ref="M212">_xlfn.IFS(A212&lt;30,"Young",A212&lt;=50,"Adult",A212&gt;50,"Senior")</f>
        <v>Young</v>
      </c>
    </row>
    <row r="213" spans="1:13" x14ac:dyDescent="0.3">
      <c r="A213">
        <v>40</v>
      </c>
      <c r="B213" t="s">
        <v>12</v>
      </c>
      <c r="C213">
        <v>30.875</v>
      </c>
      <c r="D213">
        <v>4</v>
      </c>
      <c r="E213" t="s">
        <v>19</v>
      </c>
      <c r="F213" t="s">
        <v>8</v>
      </c>
      <c r="G213">
        <v>8162.7162500000004</v>
      </c>
      <c r="H213">
        <v>113.4</v>
      </c>
      <c r="I213" t="s">
        <v>1</v>
      </c>
      <c r="J213" t="b">
        <v>1</v>
      </c>
      <c r="K213" t="s">
        <v>16</v>
      </c>
      <c r="L213">
        <v>188281.46</v>
      </c>
      <c r="M213" t="str" cm="1">
        <f t="array" ref="M213">_xlfn.IFS(A213&lt;30,"Young",A213&lt;=50,"Adult",A213&gt;50,"Senior")</f>
        <v>Adult</v>
      </c>
    </row>
    <row r="214" spans="1:13" x14ac:dyDescent="0.3">
      <c r="A214">
        <v>24</v>
      </c>
      <c r="B214" t="s">
        <v>12</v>
      </c>
      <c r="C214">
        <v>28.5</v>
      </c>
      <c r="D214">
        <v>2</v>
      </c>
      <c r="E214" t="s">
        <v>19</v>
      </c>
      <c r="F214" t="s">
        <v>8</v>
      </c>
      <c r="G214">
        <v>3537.703</v>
      </c>
      <c r="H214">
        <v>125.5</v>
      </c>
      <c r="I214" t="s">
        <v>3</v>
      </c>
      <c r="J214" t="b">
        <v>1</v>
      </c>
      <c r="K214" t="s">
        <v>14</v>
      </c>
      <c r="L214">
        <v>149812.56</v>
      </c>
      <c r="M214" t="str" cm="1">
        <f t="array" ref="M214">_xlfn.IFS(A214&lt;30,"Young",A214&lt;=50,"Adult",A214&gt;50,"Senior")</f>
        <v>Young</v>
      </c>
    </row>
    <row r="215" spans="1:13" x14ac:dyDescent="0.3">
      <c r="A215">
        <v>34</v>
      </c>
      <c r="B215" t="s">
        <v>11</v>
      </c>
      <c r="C215">
        <v>26.73</v>
      </c>
      <c r="D215">
        <v>1</v>
      </c>
      <c r="E215" t="s">
        <v>19</v>
      </c>
      <c r="F215" t="s">
        <v>7</v>
      </c>
      <c r="G215">
        <v>5002.7826999999997</v>
      </c>
      <c r="H215">
        <v>127.3</v>
      </c>
      <c r="I215" t="s">
        <v>3</v>
      </c>
      <c r="J215" t="b">
        <v>0</v>
      </c>
      <c r="K215" t="s">
        <v>14</v>
      </c>
      <c r="L215">
        <v>92195.41</v>
      </c>
      <c r="M215" t="str" cm="1">
        <f t="array" ref="M215">_xlfn.IFS(A215&lt;30,"Young",A215&lt;=50,"Adult",A215&gt;50,"Senior")</f>
        <v>Adult</v>
      </c>
    </row>
    <row r="216" spans="1:13" x14ac:dyDescent="0.3">
      <c r="A216">
        <v>45</v>
      </c>
      <c r="B216" t="s">
        <v>11</v>
      </c>
      <c r="C216">
        <v>30.9</v>
      </c>
      <c r="D216">
        <v>2</v>
      </c>
      <c r="E216" t="s">
        <v>19</v>
      </c>
      <c r="F216" t="s">
        <v>6</v>
      </c>
      <c r="G216">
        <v>8520.0259999999998</v>
      </c>
      <c r="H216">
        <v>119.5</v>
      </c>
      <c r="I216" t="s">
        <v>1</v>
      </c>
      <c r="J216" t="b">
        <v>1</v>
      </c>
      <c r="K216" t="s">
        <v>14</v>
      </c>
      <c r="L216">
        <v>75601.81</v>
      </c>
      <c r="M216" t="str" cm="1">
        <f t="array" ref="M216">_xlfn.IFS(A216&lt;30,"Young",A216&lt;=50,"Adult",A216&gt;50,"Senior")</f>
        <v>Adult</v>
      </c>
    </row>
    <row r="217" spans="1:13" x14ac:dyDescent="0.3">
      <c r="A217">
        <v>41</v>
      </c>
      <c r="B217" t="s">
        <v>11</v>
      </c>
      <c r="C217">
        <v>37.1</v>
      </c>
      <c r="D217">
        <v>2</v>
      </c>
      <c r="E217" t="s">
        <v>19</v>
      </c>
      <c r="F217" t="s">
        <v>6</v>
      </c>
      <c r="G217">
        <v>7371.7719999999999</v>
      </c>
      <c r="H217">
        <v>118.6</v>
      </c>
      <c r="I217" t="s">
        <v>0</v>
      </c>
      <c r="J217" t="b">
        <v>1</v>
      </c>
      <c r="K217" t="s">
        <v>16</v>
      </c>
      <c r="L217">
        <v>130995.6</v>
      </c>
      <c r="M217" t="str" cm="1">
        <f t="array" ref="M217">_xlfn.IFS(A217&lt;30,"Young",A217&lt;=50,"Adult",A217&gt;50,"Senior")</f>
        <v>Adult</v>
      </c>
    </row>
    <row r="218" spans="1:13" x14ac:dyDescent="0.3">
      <c r="A218">
        <v>53</v>
      </c>
      <c r="B218" t="s">
        <v>11</v>
      </c>
      <c r="C218">
        <v>26.6</v>
      </c>
      <c r="D218">
        <v>0</v>
      </c>
      <c r="E218" t="s">
        <v>19</v>
      </c>
      <c r="F218" t="s">
        <v>8</v>
      </c>
      <c r="G218">
        <v>10355.641</v>
      </c>
      <c r="H218">
        <v>117.6</v>
      </c>
      <c r="I218" t="s">
        <v>3</v>
      </c>
      <c r="J218" t="b">
        <v>1</v>
      </c>
      <c r="K218" t="s">
        <v>15</v>
      </c>
      <c r="L218">
        <v>115962.98</v>
      </c>
      <c r="M218" t="str" cm="1">
        <f t="array" ref="M218">_xlfn.IFS(A218&lt;30,"Young",A218&lt;=50,"Adult",A218&gt;50,"Senior")</f>
        <v>Senior</v>
      </c>
    </row>
    <row r="219" spans="1:13" x14ac:dyDescent="0.3">
      <c r="A219">
        <v>27</v>
      </c>
      <c r="B219" t="s">
        <v>12</v>
      </c>
      <c r="C219">
        <v>23.1</v>
      </c>
      <c r="D219">
        <v>0</v>
      </c>
      <c r="E219" t="s">
        <v>19</v>
      </c>
      <c r="F219" t="s">
        <v>7</v>
      </c>
      <c r="G219">
        <v>2483.7359999999999</v>
      </c>
      <c r="H219">
        <v>134.19999999999999</v>
      </c>
      <c r="I219" t="s">
        <v>1</v>
      </c>
      <c r="J219" t="b">
        <v>0</v>
      </c>
      <c r="K219" t="s">
        <v>14</v>
      </c>
      <c r="L219">
        <v>30193.02</v>
      </c>
      <c r="M219" t="str" cm="1">
        <f t="array" ref="M219">_xlfn.IFS(A219&lt;30,"Young",A219&lt;=50,"Adult",A219&gt;50,"Senior")</f>
        <v>Young</v>
      </c>
    </row>
    <row r="220" spans="1:13" x14ac:dyDescent="0.3">
      <c r="A220">
        <v>26</v>
      </c>
      <c r="B220" t="s">
        <v>11</v>
      </c>
      <c r="C220">
        <v>29.92</v>
      </c>
      <c r="D220">
        <v>1</v>
      </c>
      <c r="E220" t="s">
        <v>19</v>
      </c>
      <c r="F220" t="s">
        <v>7</v>
      </c>
      <c r="G220">
        <v>3392.9767999999999</v>
      </c>
      <c r="H220">
        <v>132</v>
      </c>
      <c r="I220" t="s">
        <v>2</v>
      </c>
      <c r="J220" t="b">
        <v>1</v>
      </c>
      <c r="K220" t="s">
        <v>14</v>
      </c>
      <c r="L220">
        <v>82816.62</v>
      </c>
      <c r="M220" t="str" cm="1">
        <f t="array" ref="M220">_xlfn.IFS(A220&lt;30,"Young",A220&lt;=50,"Adult",A220&gt;50,"Senior")</f>
        <v>Young</v>
      </c>
    </row>
    <row r="221" spans="1:13" x14ac:dyDescent="0.3">
      <c r="A221">
        <v>24</v>
      </c>
      <c r="B221" t="s">
        <v>11</v>
      </c>
      <c r="C221">
        <v>23.21</v>
      </c>
      <c r="D221">
        <v>0</v>
      </c>
      <c r="E221" t="s">
        <v>19</v>
      </c>
      <c r="F221" t="s">
        <v>7</v>
      </c>
      <c r="G221">
        <v>25081.76784</v>
      </c>
      <c r="H221">
        <v>124.7</v>
      </c>
      <c r="I221" t="s">
        <v>3</v>
      </c>
      <c r="J221" t="b">
        <v>0</v>
      </c>
      <c r="K221" t="s">
        <v>16</v>
      </c>
      <c r="L221">
        <v>130918.31</v>
      </c>
      <c r="M221" t="str" cm="1">
        <f t="array" ref="M221">_xlfn.IFS(A221&lt;30,"Young",A221&lt;=50,"Adult",A221&gt;50,"Senior")</f>
        <v>Young</v>
      </c>
    </row>
    <row r="222" spans="1:13" x14ac:dyDescent="0.3">
      <c r="A222">
        <v>34</v>
      </c>
      <c r="B222" t="s">
        <v>11</v>
      </c>
      <c r="C222">
        <v>33.700000000000003</v>
      </c>
      <c r="D222">
        <v>1</v>
      </c>
      <c r="E222" t="s">
        <v>19</v>
      </c>
      <c r="F222" t="s">
        <v>6</v>
      </c>
      <c r="G222">
        <v>5012.4709999999995</v>
      </c>
      <c r="H222">
        <v>120.8</v>
      </c>
      <c r="I222" t="s">
        <v>0</v>
      </c>
      <c r="J222" t="b">
        <v>0</v>
      </c>
      <c r="K222" t="s">
        <v>15</v>
      </c>
      <c r="L222">
        <v>194896.4</v>
      </c>
      <c r="M222" t="str" cm="1">
        <f t="array" ref="M222">_xlfn.IFS(A222&lt;30,"Young",A222&lt;=50,"Adult",A222&gt;50,"Senior")</f>
        <v>Adult</v>
      </c>
    </row>
    <row r="223" spans="1:13" x14ac:dyDescent="0.3">
      <c r="A223">
        <v>53</v>
      </c>
      <c r="B223" t="s">
        <v>11</v>
      </c>
      <c r="C223">
        <v>33.25</v>
      </c>
      <c r="D223">
        <v>0</v>
      </c>
      <c r="E223" t="s">
        <v>19</v>
      </c>
      <c r="F223" t="s">
        <v>9</v>
      </c>
      <c r="G223">
        <v>10564.8845</v>
      </c>
      <c r="H223">
        <v>122.8</v>
      </c>
      <c r="I223" t="s">
        <v>3</v>
      </c>
      <c r="J223" t="b">
        <v>1</v>
      </c>
      <c r="K223" t="s">
        <v>14</v>
      </c>
      <c r="L223">
        <v>44111.1</v>
      </c>
      <c r="M223" t="str" cm="1">
        <f t="array" ref="M223">_xlfn.IFS(A223&lt;30,"Young",A223&lt;=50,"Adult",A223&gt;50,"Senior")</f>
        <v>Senior</v>
      </c>
    </row>
    <row r="224" spans="1:13" x14ac:dyDescent="0.3">
      <c r="A224">
        <v>32</v>
      </c>
      <c r="B224" t="s">
        <v>12</v>
      </c>
      <c r="C224">
        <v>30.8</v>
      </c>
      <c r="D224">
        <v>3</v>
      </c>
      <c r="E224" t="s">
        <v>19</v>
      </c>
      <c r="F224" t="s">
        <v>6</v>
      </c>
      <c r="G224">
        <v>5253.5240000000003</v>
      </c>
      <c r="H224">
        <v>126.4</v>
      </c>
      <c r="I224" t="s">
        <v>3</v>
      </c>
      <c r="J224" t="b">
        <v>0</v>
      </c>
      <c r="K224" t="s">
        <v>14</v>
      </c>
      <c r="L224">
        <v>135207.79</v>
      </c>
      <c r="M224" t="str" cm="1">
        <f t="array" ref="M224">_xlfn.IFS(A224&lt;30,"Young",A224&lt;=50,"Adult",A224&gt;50,"Senior")</f>
        <v>Adult</v>
      </c>
    </row>
    <row r="225" spans="1:13" x14ac:dyDescent="0.3">
      <c r="A225">
        <v>19</v>
      </c>
      <c r="B225" t="s">
        <v>12</v>
      </c>
      <c r="C225">
        <v>34.799999999999997</v>
      </c>
      <c r="D225">
        <v>0</v>
      </c>
      <c r="E225" t="s">
        <v>18</v>
      </c>
      <c r="F225" t="s">
        <v>6</v>
      </c>
      <c r="G225">
        <v>34779.614999999998</v>
      </c>
      <c r="H225">
        <v>122.6</v>
      </c>
      <c r="I225" t="s">
        <v>3</v>
      </c>
      <c r="J225" t="b">
        <v>1</v>
      </c>
      <c r="K225" t="s">
        <v>15</v>
      </c>
      <c r="L225">
        <v>78608.89</v>
      </c>
      <c r="M225" t="str" cm="1">
        <f t="array" ref="M225">_xlfn.IFS(A225&lt;30,"Young",A225&lt;=50,"Adult",A225&gt;50,"Senior")</f>
        <v>Young</v>
      </c>
    </row>
    <row r="226" spans="1:13" x14ac:dyDescent="0.3">
      <c r="A226">
        <v>42</v>
      </c>
      <c r="B226" t="s">
        <v>12</v>
      </c>
      <c r="C226">
        <v>24.64</v>
      </c>
      <c r="D226">
        <v>0</v>
      </c>
      <c r="E226" t="s">
        <v>18</v>
      </c>
      <c r="F226" t="s">
        <v>7</v>
      </c>
      <c r="G226">
        <v>19515.5416</v>
      </c>
      <c r="H226">
        <v>118.9</v>
      </c>
      <c r="I226" t="s">
        <v>3</v>
      </c>
      <c r="J226" t="b">
        <v>1</v>
      </c>
      <c r="K226" t="s">
        <v>16</v>
      </c>
      <c r="L226">
        <v>178888.31</v>
      </c>
      <c r="M226" t="str" cm="1">
        <f t="array" ref="M226">_xlfn.IFS(A226&lt;30,"Young",A226&lt;=50,"Adult",A226&gt;50,"Senior")</f>
        <v>Adult</v>
      </c>
    </row>
    <row r="227" spans="1:13" x14ac:dyDescent="0.3">
      <c r="A227">
        <v>55</v>
      </c>
      <c r="B227" t="s">
        <v>12</v>
      </c>
      <c r="C227">
        <v>33.880000000000003</v>
      </c>
      <c r="D227">
        <v>3</v>
      </c>
      <c r="E227" t="s">
        <v>19</v>
      </c>
      <c r="F227" t="s">
        <v>7</v>
      </c>
      <c r="G227">
        <v>11987.1682</v>
      </c>
      <c r="H227">
        <v>120.5</v>
      </c>
      <c r="I227" t="s">
        <v>0</v>
      </c>
      <c r="J227" t="b">
        <v>1</v>
      </c>
      <c r="K227" t="s">
        <v>16</v>
      </c>
      <c r="L227">
        <v>62134.47</v>
      </c>
      <c r="M227" t="str" cm="1">
        <f t="array" ref="M227">_xlfn.IFS(A227&lt;30,"Young",A227&lt;=50,"Adult",A227&gt;50,"Senior")</f>
        <v>Senior</v>
      </c>
    </row>
    <row r="228" spans="1:13" x14ac:dyDescent="0.3">
      <c r="A228">
        <v>28</v>
      </c>
      <c r="B228" t="s">
        <v>12</v>
      </c>
      <c r="C228">
        <v>38.06</v>
      </c>
      <c r="D228">
        <v>0</v>
      </c>
      <c r="E228" t="s">
        <v>19</v>
      </c>
      <c r="F228" t="s">
        <v>7</v>
      </c>
      <c r="G228">
        <v>2689.4953999999998</v>
      </c>
      <c r="H228">
        <v>125.8</v>
      </c>
      <c r="I228" t="s">
        <v>2</v>
      </c>
      <c r="J228" t="b">
        <v>1</v>
      </c>
      <c r="K228" t="s">
        <v>15</v>
      </c>
      <c r="L228">
        <v>132111.87</v>
      </c>
      <c r="M228" t="str" cm="1">
        <f t="array" ref="M228">_xlfn.IFS(A228&lt;30,"Young",A228&lt;=50,"Adult",A228&gt;50,"Senior")</f>
        <v>Young</v>
      </c>
    </row>
    <row r="229" spans="1:13" x14ac:dyDescent="0.3">
      <c r="A229">
        <v>58</v>
      </c>
      <c r="B229" t="s">
        <v>11</v>
      </c>
      <c r="C229">
        <v>41.91</v>
      </c>
      <c r="D229">
        <v>0</v>
      </c>
      <c r="E229" t="s">
        <v>19</v>
      </c>
      <c r="F229" t="s">
        <v>7</v>
      </c>
      <c r="G229">
        <v>24227.337240000001</v>
      </c>
      <c r="H229">
        <v>116.6</v>
      </c>
      <c r="I229" t="s">
        <v>3</v>
      </c>
      <c r="J229" t="b">
        <v>0</v>
      </c>
      <c r="K229" t="s">
        <v>14</v>
      </c>
      <c r="L229">
        <v>119417.4</v>
      </c>
      <c r="M229" t="str" cm="1">
        <f t="array" ref="M229">_xlfn.IFS(A229&lt;30,"Young",A229&lt;=50,"Adult",A229&gt;50,"Senior")</f>
        <v>Senior</v>
      </c>
    </row>
    <row r="230" spans="1:13" x14ac:dyDescent="0.3">
      <c r="A230">
        <v>41</v>
      </c>
      <c r="B230" t="s">
        <v>11</v>
      </c>
      <c r="C230">
        <v>31.635000000000002</v>
      </c>
      <c r="D230">
        <v>1</v>
      </c>
      <c r="E230" t="s">
        <v>19</v>
      </c>
      <c r="F230" t="s">
        <v>9</v>
      </c>
      <c r="G230">
        <v>7358.1756500000001</v>
      </c>
      <c r="H230">
        <v>133.5</v>
      </c>
      <c r="I230" t="s">
        <v>1</v>
      </c>
      <c r="J230" t="b">
        <v>0</v>
      </c>
      <c r="K230" t="s">
        <v>15</v>
      </c>
      <c r="L230">
        <v>80601.259999999995</v>
      </c>
      <c r="M230" t="str" cm="1">
        <f t="array" ref="M230">_xlfn.IFS(A230&lt;30,"Young",A230&lt;=50,"Adult",A230&gt;50,"Senior")</f>
        <v>Adult</v>
      </c>
    </row>
    <row r="231" spans="1:13" x14ac:dyDescent="0.3">
      <c r="A231">
        <v>47</v>
      </c>
      <c r="B231" t="s">
        <v>12</v>
      </c>
      <c r="C231">
        <v>25.46</v>
      </c>
      <c r="D231">
        <v>2</v>
      </c>
      <c r="E231" t="s">
        <v>19</v>
      </c>
      <c r="F231" t="s">
        <v>9</v>
      </c>
      <c r="G231">
        <v>9225.2564000000002</v>
      </c>
      <c r="H231">
        <v>132.69999999999999</v>
      </c>
      <c r="I231" t="s">
        <v>2</v>
      </c>
      <c r="J231" t="b">
        <v>0</v>
      </c>
      <c r="K231" t="s">
        <v>15</v>
      </c>
      <c r="L231">
        <v>98121.97</v>
      </c>
      <c r="M231" t="str" cm="1">
        <f t="array" ref="M231">_xlfn.IFS(A231&lt;30,"Young",A231&lt;=50,"Adult",A231&gt;50,"Senior")</f>
        <v>Adult</v>
      </c>
    </row>
    <row r="232" spans="1:13" x14ac:dyDescent="0.3">
      <c r="A232">
        <v>42</v>
      </c>
      <c r="B232" t="s">
        <v>11</v>
      </c>
      <c r="C232">
        <v>36.195</v>
      </c>
      <c r="D232">
        <v>1</v>
      </c>
      <c r="E232" t="s">
        <v>19</v>
      </c>
      <c r="F232" t="s">
        <v>8</v>
      </c>
      <c r="G232">
        <v>7443.6430499999997</v>
      </c>
      <c r="H232">
        <v>113.3</v>
      </c>
      <c r="I232" t="s">
        <v>1</v>
      </c>
      <c r="J232" t="b">
        <v>1</v>
      </c>
      <c r="K232" t="s">
        <v>16</v>
      </c>
      <c r="L232">
        <v>105593.46</v>
      </c>
      <c r="M232" t="str" cm="1">
        <f t="array" ref="M232">_xlfn.IFS(A232&lt;30,"Young",A232&lt;=50,"Adult",A232&gt;50,"Senior")</f>
        <v>Adult</v>
      </c>
    </row>
    <row r="233" spans="1:13" x14ac:dyDescent="0.3">
      <c r="A233">
        <v>59</v>
      </c>
      <c r="B233" t="s">
        <v>11</v>
      </c>
      <c r="C233">
        <v>27.83</v>
      </c>
      <c r="D233">
        <v>3</v>
      </c>
      <c r="E233" t="s">
        <v>19</v>
      </c>
      <c r="F233" t="s">
        <v>7</v>
      </c>
      <c r="G233">
        <v>14001.286700000001</v>
      </c>
      <c r="H233">
        <v>125.7</v>
      </c>
      <c r="I233" t="s">
        <v>0</v>
      </c>
      <c r="J233" t="b">
        <v>1</v>
      </c>
      <c r="K233" t="s">
        <v>16</v>
      </c>
      <c r="L233">
        <v>84878.94</v>
      </c>
      <c r="M233" t="str" cm="1">
        <f t="array" ref="M233">_xlfn.IFS(A233&lt;30,"Young",A233&lt;=50,"Adult",A233&gt;50,"Senior")</f>
        <v>Senior</v>
      </c>
    </row>
    <row r="234" spans="1:13" x14ac:dyDescent="0.3">
      <c r="A234">
        <v>19</v>
      </c>
      <c r="B234" t="s">
        <v>11</v>
      </c>
      <c r="C234">
        <v>17.8</v>
      </c>
      <c r="D234">
        <v>0</v>
      </c>
      <c r="E234" t="s">
        <v>19</v>
      </c>
      <c r="F234" t="s">
        <v>6</v>
      </c>
      <c r="G234">
        <v>1727.7850000000001</v>
      </c>
      <c r="H234">
        <v>127.6</v>
      </c>
      <c r="I234" t="s">
        <v>2</v>
      </c>
      <c r="J234" t="b">
        <v>0</v>
      </c>
      <c r="K234" t="s">
        <v>14</v>
      </c>
      <c r="L234">
        <v>165443.46</v>
      </c>
      <c r="M234" t="str" cm="1">
        <f t="array" ref="M234">_xlfn.IFS(A234&lt;30,"Young",A234&lt;=50,"Adult",A234&gt;50,"Senior")</f>
        <v>Young</v>
      </c>
    </row>
    <row r="235" spans="1:13" x14ac:dyDescent="0.3">
      <c r="A235">
        <v>59</v>
      </c>
      <c r="B235" t="s">
        <v>12</v>
      </c>
      <c r="C235">
        <v>27.5</v>
      </c>
      <c r="D235">
        <v>1</v>
      </c>
      <c r="E235" t="s">
        <v>19</v>
      </c>
      <c r="F235" t="s">
        <v>6</v>
      </c>
      <c r="G235">
        <v>12333.828</v>
      </c>
      <c r="H235">
        <v>127.8</v>
      </c>
      <c r="I235" t="s">
        <v>3</v>
      </c>
      <c r="J235" t="b">
        <v>0</v>
      </c>
      <c r="K235" t="s">
        <v>16</v>
      </c>
      <c r="L235">
        <v>182412.29</v>
      </c>
      <c r="M235" t="str" cm="1">
        <f t="array" ref="M235">_xlfn.IFS(A235&lt;30,"Young",A235&lt;=50,"Adult",A235&gt;50,"Senior")</f>
        <v>Senior</v>
      </c>
    </row>
    <row r="236" spans="1:13" x14ac:dyDescent="0.3">
      <c r="A236">
        <v>39</v>
      </c>
      <c r="B236" t="s">
        <v>12</v>
      </c>
      <c r="C236">
        <v>24.51</v>
      </c>
      <c r="D236">
        <v>2</v>
      </c>
      <c r="E236" t="s">
        <v>19</v>
      </c>
      <c r="F236" t="s">
        <v>8</v>
      </c>
      <c r="G236">
        <v>6710.1918999999998</v>
      </c>
      <c r="H236">
        <v>129.1</v>
      </c>
      <c r="I236" t="s">
        <v>1</v>
      </c>
      <c r="J236" t="b">
        <v>1</v>
      </c>
      <c r="K236" t="s">
        <v>16</v>
      </c>
      <c r="L236">
        <v>144133.87</v>
      </c>
      <c r="M236" t="str" cm="1">
        <f t="array" ref="M236">_xlfn.IFS(A236&lt;30,"Young",A236&lt;=50,"Adult",A236&gt;50,"Senior")</f>
        <v>Adult</v>
      </c>
    </row>
    <row r="237" spans="1:13" x14ac:dyDescent="0.3">
      <c r="A237">
        <v>40</v>
      </c>
      <c r="B237" t="s">
        <v>11</v>
      </c>
      <c r="C237">
        <v>22.22</v>
      </c>
      <c r="D237">
        <v>2</v>
      </c>
      <c r="E237" t="s">
        <v>18</v>
      </c>
      <c r="F237" t="s">
        <v>7</v>
      </c>
      <c r="G237">
        <v>19444.265800000001</v>
      </c>
      <c r="H237">
        <v>122.9</v>
      </c>
      <c r="I237" t="s">
        <v>3</v>
      </c>
      <c r="J237" t="b">
        <v>1</v>
      </c>
      <c r="K237" t="s">
        <v>15</v>
      </c>
      <c r="L237">
        <v>123924.67</v>
      </c>
      <c r="M237" t="str" cm="1">
        <f t="array" ref="M237">_xlfn.IFS(A237&lt;30,"Young",A237&lt;=50,"Adult",A237&gt;50,"Senior")</f>
        <v>Adult</v>
      </c>
    </row>
    <row r="238" spans="1:13" x14ac:dyDescent="0.3">
      <c r="A238">
        <v>18</v>
      </c>
      <c r="B238" t="s">
        <v>11</v>
      </c>
      <c r="C238">
        <v>26.73</v>
      </c>
      <c r="D238">
        <v>0</v>
      </c>
      <c r="E238" t="s">
        <v>19</v>
      </c>
      <c r="F238" t="s">
        <v>7</v>
      </c>
      <c r="G238">
        <v>1615.7666999999999</v>
      </c>
      <c r="H238">
        <v>137</v>
      </c>
      <c r="I238" t="s">
        <v>0</v>
      </c>
      <c r="J238" t="b">
        <v>0</v>
      </c>
      <c r="K238" t="s">
        <v>14</v>
      </c>
      <c r="L238">
        <v>174552.49</v>
      </c>
      <c r="M238" t="str" cm="1">
        <f t="array" ref="M238">_xlfn.IFS(A238&lt;30,"Young",A238&lt;=50,"Adult",A238&gt;50,"Senior")</f>
        <v>Young</v>
      </c>
    </row>
    <row r="239" spans="1:13" x14ac:dyDescent="0.3">
      <c r="A239">
        <v>31</v>
      </c>
      <c r="B239" t="s">
        <v>12</v>
      </c>
      <c r="C239">
        <v>38.39</v>
      </c>
      <c r="D239">
        <v>2</v>
      </c>
      <c r="E239" t="s">
        <v>19</v>
      </c>
      <c r="F239" t="s">
        <v>7</v>
      </c>
      <c r="G239">
        <v>4463.2051000000001</v>
      </c>
      <c r="H239">
        <v>110.5</v>
      </c>
      <c r="I239" t="s">
        <v>3</v>
      </c>
      <c r="J239" t="b">
        <v>1</v>
      </c>
      <c r="K239" t="s">
        <v>16</v>
      </c>
      <c r="L239">
        <v>179573.17</v>
      </c>
      <c r="M239" t="str" cm="1">
        <f t="array" ref="M239">_xlfn.IFS(A239&lt;30,"Young",A239&lt;=50,"Adult",A239&gt;50,"Senior")</f>
        <v>Adult</v>
      </c>
    </row>
    <row r="240" spans="1:13" x14ac:dyDescent="0.3">
      <c r="A240">
        <v>19</v>
      </c>
      <c r="B240" t="s">
        <v>12</v>
      </c>
      <c r="C240">
        <v>29.07</v>
      </c>
      <c r="D240">
        <v>0</v>
      </c>
      <c r="E240" t="s">
        <v>18</v>
      </c>
      <c r="F240" t="s">
        <v>8</v>
      </c>
      <c r="G240">
        <v>17352.6803</v>
      </c>
      <c r="H240">
        <v>136</v>
      </c>
      <c r="I240" t="s">
        <v>3</v>
      </c>
      <c r="J240" t="b">
        <v>0</v>
      </c>
      <c r="K240" t="s">
        <v>14</v>
      </c>
      <c r="L240">
        <v>54143.79</v>
      </c>
      <c r="M240" t="str" cm="1">
        <f t="array" ref="M240">_xlfn.IFS(A240&lt;30,"Young",A240&lt;=50,"Adult",A240&gt;50,"Senior")</f>
        <v>Young</v>
      </c>
    </row>
    <row r="241" spans="1:13" x14ac:dyDescent="0.3">
      <c r="A241">
        <v>44</v>
      </c>
      <c r="B241" t="s">
        <v>12</v>
      </c>
      <c r="C241">
        <v>38.06</v>
      </c>
      <c r="D241">
        <v>1</v>
      </c>
      <c r="E241" t="s">
        <v>19</v>
      </c>
      <c r="F241" t="s">
        <v>7</v>
      </c>
      <c r="G241">
        <v>7152.6714000000002</v>
      </c>
      <c r="H241">
        <v>126.2</v>
      </c>
      <c r="I241" t="s">
        <v>0</v>
      </c>
      <c r="J241" t="b">
        <v>0</v>
      </c>
      <c r="K241" t="s">
        <v>15</v>
      </c>
      <c r="L241">
        <v>175054.84</v>
      </c>
      <c r="M241" t="str" cm="1">
        <f t="array" ref="M241">_xlfn.IFS(A241&lt;30,"Young",A241&lt;=50,"Adult",A241&gt;50,"Senior")</f>
        <v>Adult</v>
      </c>
    </row>
    <row r="242" spans="1:13" x14ac:dyDescent="0.3">
      <c r="A242">
        <v>23</v>
      </c>
      <c r="B242" t="s">
        <v>11</v>
      </c>
      <c r="C242">
        <v>36.67</v>
      </c>
      <c r="D242">
        <v>2</v>
      </c>
      <c r="E242" t="s">
        <v>18</v>
      </c>
      <c r="F242" t="s">
        <v>9</v>
      </c>
      <c r="G242">
        <v>38511.628299999997</v>
      </c>
      <c r="H242">
        <v>120.1</v>
      </c>
      <c r="I242" t="s">
        <v>1</v>
      </c>
      <c r="J242" t="b">
        <v>0</v>
      </c>
      <c r="K242" t="s">
        <v>16</v>
      </c>
      <c r="L242">
        <v>78997.919999999998</v>
      </c>
      <c r="M242" t="str" cm="1">
        <f t="array" ref="M242">_xlfn.IFS(A242&lt;30,"Young",A242&lt;=50,"Adult",A242&gt;50,"Senior")</f>
        <v>Young</v>
      </c>
    </row>
    <row r="243" spans="1:13" x14ac:dyDescent="0.3">
      <c r="A243">
        <v>33</v>
      </c>
      <c r="B243" t="s">
        <v>11</v>
      </c>
      <c r="C243">
        <v>22.135000000000002</v>
      </c>
      <c r="D243">
        <v>1</v>
      </c>
      <c r="E243" t="s">
        <v>19</v>
      </c>
      <c r="F243" t="s">
        <v>9</v>
      </c>
      <c r="G243">
        <v>5354.0746499999996</v>
      </c>
      <c r="H243">
        <v>127.8</v>
      </c>
      <c r="I243" t="s">
        <v>1</v>
      </c>
      <c r="J243" t="b">
        <v>1</v>
      </c>
      <c r="K243" t="s">
        <v>15</v>
      </c>
      <c r="L243">
        <v>36980.31</v>
      </c>
      <c r="M243" t="str" cm="1">
        <f t="array" ref="M243">_xlfn.IFS(A243&lt;30,"Young",A243&lt;=50,"Adult",A243&gt;50,"Senior")</f>
        <v>Adult</v>
      </c>
    </row>
    <row r="244" spans="1:13" x14ac:dyDescent="0.3">
      <c r="A244">
        <v>55</v>
      </c>
      <c r="B244" t="s">
        <v>11</v>
      </c>
      <c r="C244">
        <v>26.8</v>
      </c>
      <c r="D244">
        <v>1</v>
      </c>
      <c r="E244" t="s">
        <v>19</v>
      </c>
      <c r="F244" t="s">
        <v>6</v>
      </c>
      <c r="G244">
        <v>35160.134570000002</v>
      </c>
      <c r="H244">
        <v>138</v>
      </c>
      <c r="I244" t="s">
        <v>1</v>
      </c>
      <c r="J244" t="b">
        <v>0</v>
      </c>
      <c r="K244" t="s">
        <v>15</v>
      </c>
      <c r="L244">
        <v>167312.59</v>
      </c>
      <c r="M244" t="str" cm="1">
        <f t="array" ref="M244">_xlfn.IFS(A244&lt;30,"Young",A244&lt;=50,"Adult",A244&gt;50,"Senior")</f>
        <v>Senior</v>
      </c>
    </row>
    <row r="245" spans="1:13" x14ac:dyDescent="0.3">
      <c r="A245">
        <v>40</v>
      </c>
      <c r="B245" t="s">
        <v>12</v>
      </c>
      <c r="C245">
        <v>35.299999999999997</v>
      </c>
      <c r="D245">
        <v>3</v>
      </c>
      <c r="E245" t="s">
        <v>19</v>
      </c>
      <c r="F245" t="s">
        <v>6</v>
      </c>
      <c r="G245">
        <v>7196.8670000000002</v>
      </c>
      <c r="H245">
        <v>137.80000000000001</v>
      </c>
      <c r="I245" t="s">
        <v>3</v>
      </c>
      <c r="J245" t="b">
        <v>1</v>
      </c>
      <c r="K245" t="s">
        <v>14</v>
      </c>
      <c r="L245">
        <v>73548.69</v>
      </c>
      <c r="M245" t="str" cm="1">
        <f t="array" ref="M245">_xlfn.IFS(A245&lt;30,"Young",A245&lt;=50,"Adult",A245&gt;50,"Senior")</f>
        <v>Adult</v>
      </c>
    </row>
    <row r="246" spans="1:13" x14ac:dyDescent="0.3">
      <c r="A246">
        <v>63</v>
      </c>
      <c r="B246" t="s">
        <v>11</v>
      </c>
      <c r="C246">
        <v>27.74</v>
      </c>
      <c r="D246">
        <v>0</v>
      </c>
      <c r="E246" t="s">
        <v>18</v>
      </c>
      <c r="F246" t="s">
        <v>9</v>
      </c>
      <c r="G246">
        <v>29523.1656</v>
      </c>
      <c r="H246">
        <v>131.6</v>
      </c>
      <c r="I246" t="s">
        <v>1</v>
      </c>
      <c r="J246" t="b">
        <v>0</v>
      </c>
      <c r="K246" t="s">
        <v>16</v>
      </c>
      <c r="L246">
        <v>71817.78</v>
      </c>
      <c r="M246" t="str" cm="1">
        <f t="array" ref="M246">_xlfn.IFS(A246&lt;30,"Young",A246&lt;=50,"Adult",A246&gt;50,"Senior")</f>
        <v>Senior</v>
      </c>
    </row>
    <row r="247" spans="1:13" x14ac:dyDescent="0.3">
      <c r="A247">
        <v>54</v>
      </c>
      <c r="B247" t="s">
        <v>12</v>
      </c>
      <c r="C247">
        <v>30.02</v>
      </c>
      <c r="D247">
        <v>0</v>
      </c>
      <c r="E247" t="s">
        <v>19</v>
      </c>
      <c r="F247" t="s">
        <v>8</v>
      </c>
      <c r="G247">
        <v>24476.478510000001</v>
      </c>
      <c r="H247">
        <v>110.8</v>
      </c>
      <c r="I247" t="s">
        <v>0</v>
      </c>
      <c r="J247" t="b">
        <v>0</v>
      </c>
      <c r="K247" t="s">
        <v>15</v>
      </c>
      <c r="L247">
        <v>108462.56</v>
      </c>
      <c r="M247" t="str" cm="1">
        <f t="array" ref="M247">_xlfn.IFS(A247&lt;30,"Young",A247&lt;=50,"Adult",A247&gt;50,"Senior")</f>
        <v>Senior</v>
      </c>
    </row>
    <row r="248" spans="1:13" x14ac:dyDescent="0.3">
      <c r="A248">
        <v>60</v>
      </c>
      <c r="B248" t="s">
        <v>11</v>
      </c>
      <c r="C248">
        <v>38.06</v>
      </c>
      <c r="D248">
        <v>0</v>
      </c>
      <c r="E248" t="s">
        <v>19</v>
      </c>
      <c r="F248" t="s">
        <v>7</v>
      </c>
      <c r="G248">
        <v>12648.7034</v>
      </c>
      <c r="H248">
        <v>116</v>
      </c>
      <c r="I248" t="s">
        <v>0</v>
      </c>
      <c r="J248" t="b">
        <v>1</v>
      </c>
      <c r="K248" t="s">
        <v>16</v>
      </c>
      <c r="L248">
        <v>97474.03</v>
      </c>
      <c r="M248" t="str" cm="1">
        <f t="array" ref="M248">_xlfn.IFS(A248&lt;30,"Young",A248&lt;=50,"Adult",A248&gt;50,"Senior")</f>
        <v>Senior</v>
      </c>
    </row>
    <row r="249" spans="1:13" x14ac:dyDescent="0.3">
      <c r="A249">
        <v>24</v>
      </c>
      <c r="B249" t="s">
        <v>12</v>
      </c>
      <c r="C249">
        <v>35.86</v>
      </c>
      <c r="D249">
        <v>0</v>
      </c>
      <c r="E249" t="s">
        <v>19</v>
      </c>
      <c r="F249" t="s">
        <v>7</v>
      </c>
      <c r="G249">
        <v>1986.9333999999999</v>
      </c>
      <c r="H249">
        <v>114.2</v>
      </c>
      <c r="I249" t="s">
        <v>0</v>
      </c>
      <c r="J249" t="b">
        <v>1</v>
      </c>
      <c r="K249" t="s">
        <v>15</v>
      </c>
      <c r="L249">
        <v>77417.36</v>
      </c>
      <c r="M249" t="str" cm="1">
        <f t="array" ref="M249">_xlfn.IFS(A249&lt;30,"Young",A249&lt;=50,"Adult",A249&gt;50,"Senior")</f>
        <v>Young</v>
      </c>
    </row>
    <row r="250" spans="1:13" x14ac:dyDescent="0.3">
      <c r="A250">
        <v>19</v>
      </c>
      <c r="B250" t="s">
        <v>12</v>
      </c>
      <c r="C250">
        <v>20.9</v>
      </c>
      <c r="D250">
        <v>1</v>
      </c>
      <c r="E250" t="s">
        <v>19</v>
      </c>
      <c r="F250" t="s">
        <v>6</v>
      </c>
      <c r="G250">
        <v>1832.0940000000001</v>
      </c>
      <c r="H250">
        <v>136.19999999999999</v>
      </c>
      <c r="I250" t="s">
        <v>1</v>
      </c>
      <c r="J250" t="b">
        <v>1</v>
      </c>
      <c r="K250" t="s">
        <v>14</v>
      </c>
      <c r="L250">
        <v>163735.5</v>
      </c>
      <c r="M250" t="str" cm="1">
        <f t="array" ref="M250">_xlfn.IFS(A250&lt;30,"Young",A250&lt;=50,"Adult",A250&gt;50,"Senior")</f>
        <v>Young</v>
      </c>
    </row>
    <row r="251" spans="1:13" x14ac:dyDescent="0.3">
      <c r="A251">
        <v>29</v>
      </c>
      <c r="B251" t="s">
        <v>12</v>
      </c>
      <c r="C251">
        <v>28.975000000000001</v>
      </c>
      <c r="D251">
        <v>1</v>
      </c>
      <c r="E251" t="s">
        <v>19</v>
      </c>
      <c r="F251" t="s">
        <v>9</v>
      </c>
      <c r="G251">
        <v>4040.55825</v>
      </c>
      <c r="H251">
        <v>138.5</v>
      </c>
      <c r="I251" t="s">
        <v>3</v>
      </c>
      <c r="J251" t="b">
        <v>0</v>
      </c>
      <c r="K251" t="s">
        <v>14</v>
      </c>
      <c r="L251">
        <v>88170.4</v>
      </c>
      <c r="M251" t="str" cm="1">
        <f t="array" ref="M251">_xlfn.IFS(A251&lt;30,"Young",A251&lt;=50,"Adult",A251&gt;50,"Senior")</f>
        <v>Young</v>
      </c>
    </row>
    <row r="252" spans="1:13" x14ac:dyDescent="0.3">
      <c r="A252">
        <v>18</v>
      </c>
      <c r="B252" t="s">
        <v>12</v>
      </c>
      <c r="C252">
        <v>17.29</v>
      </c>
      <c r="D252">
        <v>2</v>
      </c>
      <c r="E252" t="s">
        <v>18</v>
      </c>
      <c r="F252" t="s">
        <v>9</v>
      </c>
      <c r="G252">
        <v>12829.455099999999</v>
      </c>
      <c r="H252">
        <v>134.80000000000001</v>
      </c>
      <c r="I252" t="s">
        <v>1</v>
      </c>
      <c r="J252" t="b">
        <v>1</v>
      </c>
      <c r="K252" t="s">
        <v>15</v>
      </c>
      <c r="L252">
        <v>121415.51</v>
      </c>
      <c r="M252" t="str" cm="1">
        <f t="array" ref="M252">_xlfn.IFS(A252&lt;30,"Young",A252&lt;=50,"Adult",A252&gt;50,"Senior")</f>
        <v>Young</v>
      </c>
    </row>
    <row r="253" spans="1:13" x14ac:dyDescent="0.3">
      <c r="A253">
        <v>63</v>
      </c>
      <c r="B253" t="s">
        <v>11</v>
      </c>
      <c r="C253">
        <v>32.200000000000003</v>
      </c>
      <c r="D253">
        <v>2</v>
      </c>
      <c r="E253" t="s">
        <v>18</v>
      </c>
      <c r="F253" t="s">
        <v>6</v>
      </c>
      <c r="G253">
        <v>47305.305</v>
      </c>
      <c r="H253">
        <v>125.5</v>
      </c>
      <c r="I253" t="s">
        <v>3</v>
      </c>
      <c r="J253" t="b">
        <v>1</v>
      </c>
      <c r="K253" t="s">
        <v>16</v>
      </c>
      <c r="L253">
        <v>40858.11</v>
      </c>
      <c r="M253" t="str" cm="1">
        <f t="array" ref="M253">_xlfn.IFS(A253&lt;30,"Young",A253&lt;=50,"Adult",A253&gt;50,"Senior")</f>
        <v>Senior</v>
      </c>
    </row>
    <row r="254" spans="1:13" x14ac:dyDescent="0.3">
      <c r="A254">
        <v>54</v>
      </c>
      <c r="B254" t="s">
        <v>12</v>
      </c>
      <c r="C254">
        <v>34.21</v>
      </c>
      <c r="D254">
        <v>2</v>
      </c>
      <c r="E254" t="s">
        <v>18</v>
      </c>
      <c r="F254" t="s">
        <v>7</v>
      </c>
      <c r="G254">
        <v>44260.749900000003</v>
      </c>
      <c r="H254">
        <v>118.9</v>
      </c>
      <c r="I254" t="s">
        <v>0</v>
      </c>
      <c r="J254" t="b">
        <v>0</v>
      </c>
      <c r="K254" t="s">
        <v>14</v>
      </c>
      <c r="L254">
        <v>117610.34</v>
      </c>
      <c r="M254" t="str" cm="1">
        <f t="array" ref="M254">_xlfn.IFS(A254&lt;30,"Young",A254&lt;=50,"Adult",A254&gt;50,"Senior")</f>
        <v>Senior</v>
      </c>
    </row>
    <row r="255" spans="1:13" x14ac:dyDescent="0.3">
      <c r="A255">
        <v>27</v>
      </c>
      <c r="B255" t="s">
        <v>12</v>
      </c>
      <c r="C255">
        <v>30.3</v>
      </c>
      <c r="D255">
        <v>3</v>
      </c>
      <c r="E255" t="s">
        <v>19</v>
      </c>
      <c r="F255" t="s">
        <v>6</v>
      </c>
      <c r="G255">
        <v>4260.7439999999997</v>
      </c>
      <c r="H255">
        <v>129.6</v>
      </c>
      <c r="I255" t="s">
        <v>1</v>
      </c>
      <c r="J255" t="b">
        <v>0</v>
      </c>
      <c r="K255" t="s">
        <v>15</v>
      </c>
      <c r="L255">
        <v>57836.66</v>
      </c>
      <c r="M255" t="str" cm="1">
        <f t="array" ref="M255">_xlfn.IFS(A255&lt;30,"Young",A255&lt;=50,"Adult",A255&gt;50,"Senior")</f>
        <v>Young</v>
      </c>
    </row>
    <row r="256" spans="1:13" x14ac:dyDescent="0.3">
      <c r="A256">
        <v>50</v>
      </c>
      <c r="B256" t="s">
        <v>12</v>
      </c>
      <c r="C256">
        <v>31.824999999999999</v>
      </c>
      <c r="D256">
        <v>0</v>
      </c>
      <c r="E256" t="s">
        <v>18</v>
      </c>
      <c r="F256" t="s">
        <v>9</v>
      </c>
      <c r="G256">
        <v>41097.161749999999</v>
      </c>
      <c r="H256">
        <v>137.30000000000001</v>
      </c>
      <c r="I256" t="s">
        <v>1</v>
      </c>
      <c r="J256" t="b">
        <v>0</v>
      </c>
      <c r="K256" t="s">
        <v>16</v>
      </c>
      <c r="L256">
        <v>182257.33</v>
      </c>
      <c r="M256" t="str" cm="1">
        <f t="array" ref="M256">_xlfn.IFS(A256&lt;30,"Young",A256&lt;=50,"Adult",A256&gt;50,"Senior")</f>
        <v>Adult</v>
      </c>
    </row>
    <row r="257" spans="1:13" x14ac:dyDescent="0.3">
      <c r="A257">
        <v>55</v>
      </c>
      <c r="B257" t="s">
        <v>11</v>
      </c>
      <c r="C257">
        <v>25.364999999999998</v>
      </c>
      <c r="D257">
        <v>3</v>
      </c>
      <c r="E257" t="s">
        <v>19</v>
      </c>
      <c r="F257" t="s">
        <v>9</v>
      </c>
      <c r="G257">
        <v>13047.332350000001</v>
      </c>
      <c r="H257">
        <v>133.5</v>
      </c>
      <c r="I257" t="s">
        <v>0</v>
      </c>
      <c r="J257" t="b">
        <v>0</v>
      </c>
      <c r="K257" t="s">
        <v>16</v>
      </c>
      <c r="L257">
        <v>169208.14</v>
      </c>
      <c r="M257" t="str" cm="1">
        <f t="array" ref="M257">_xlfn.IFS(A257&lt;30,"Young",A257&lt;=50,"Adult",A257&gt;50,"Senior")</f>
        <v>Senior</v>
      </c>
    </row>
    <row r="258" spans="1:13" x14ac:dyDescent="0.3">
      <c r="A258">
        <v>56</v>
      </c>
      <c r="B258" t="s">
        <v>12</v>
      </c>
      <c r="C258">
        <v>33.630000000000003</v>
      </c>
      <c r="D258">
        <v>0</v>
      </c>
      <c r="E258" t="s">
        <v>18</v>
      </c>
      <c r="F258" t="s">
        <v>8</v>
      </c>
      <c r="G258">
        <v>43921.183700000001</v>
      </c>
      <c r="H258">
        <v>138.80000000000001</v>
      </c>
      <c r="I258" t="s">
        <v>0</v>
      </c>
      <c r="J258" t="b">
        <v>1</v>
      </c>
      <c r="K258" t="s">
        <v>15</v>
      </c>
      <c r="L258">
        <v>181479.97</v>
      </c>
      <c r="M258" t="str" cm="1">
        <f t="array" ref="M258">_xlfn.IFS(A258&lt;30,"Young",A258&lt;=50,"Adult",A258&gt;50,"Senior")</f>
        <v>Senior</v>
      </c>
    </row>
    <row r="259" spans="1:13" x14ac:dyDescent="0.3">
      <c r="A259">
        <v>38</v>
      </c>
      <c r="B259" t="s">
        <v>11</v>
      </c>
      <c r="C259">
        <v>40.15</v>
      </c>
      <c r="D259">
        <v>0</v>
      </c>
      <c r="E259" t="s">
        <v>19</v>
      </c>
      <c r="F259" t="s">
        <v>7</v>
      </c>
      <c r="G259">
        <v>5400.9804999999997</v>
      </c>
      <c r="H259">
        <v>139.69999999999999</v>
      </c>
      <c r="I259" t="s">
        <v>3</v>
      </c>
      <c r="J259" t="b">
        <v>0</v>
      </c>
      <c r="K259" t="s">
        <v>16</v>
      </c>
      <c r="L259">
        <v>42297.7</v>
      </c>
      <c r="M259" t="str" cm="1">
        <f t="array" ref="M259">_xlfn.IFS(A259&lt;30,"Young",A259&lt;=50,"Adult",A259&gt;50,"Senior")</f>
        <v>Adult</v>
      </c>
    </row>
    <row r="260" spans="1:13" x14ac:dyDescent="0.3">
      <c r="A260">
        <v>51</v>
      </c>
      <c r="B260" t="s">
        <v>12</v>
      </c>
      <c r="C260">
        <v>24.414999999999999</v>
      </c>
      <c r="D260">
        <v>4</v>
      </c>
      <c r="E260" t="s">
        <v>19</v>
      </c>
      <c r="F260" t="s">
        <v>8</v>
      </c>
      <c r="G260">
        <v>11520.099850000001</v>
      </c>
      <c r="H260">
        <v>122.7</v>
      </c>
      <c r="I260" t="s">
        <v>3</v>
      </c>
      <c r="J260" t="b">
        <v>1</v>
      </c>
      <c r="K260" t="s">
        <v>14</v>
      </c>
      <c r="L260">
        <v>135327.06</v>
      </c>
      <c r="M260" t="str" cm="1">
        <f t="array" ref="M260">_xlfn.IFS(A260&lt;30,"Young",A260&lt;=50,"Adult",A260&gt;50,"Senior")</f>
        <v>Senior</v>
      </c>
    </row>
    <row r="261" spans="1:13" x14ac:dyDescent="0.3">
      <c r="A261">
        <v>19</v>
      </c>
      <c r="B261" t="s">
        <v>12</v>
      </c>
      <c r="C261">
        <v>31.92</v>
      </c>
      <c r="D261">
        <v>0</v>
      </c>
      <c r="E261" t="s">
        <v>18</v>
      </c>
      <c r="F261" t="s">
        <v>8</v>
      </c>
      <c r="G261">
        <v>33750.291799999999</v>
      </c>
      <c r="H261">
        <v>112.7</v>
      </c>
      <c r="I261" t="s">
        <v>1</v>
      </c>
      <c r="J261" t="b">
        <v>1</v>
      </c>
      <c r="K261" t="s">
        <v>15</v>
      </c>
      <c r="L261">
        <v>41253.620000000003</v>
      </c>
      <c r="M261" t="str" cm="1">
        <f t="array" ref="M261">_xlfn.IFS(A261&lt;30,"Young",A261&lt;=50,"Adult",A261&gt;50,"Senior")</f>
        <v>Young</v>
      </c>
    </row>
    <row r="262" spans="1:13" x14ac:dyDescent="0.3">
      <c r="A262">
        <v>58</v>
      </c>
      <c r="B262" t="s">
        <v>11</v>
      </c>
      <c r="C262">
        <v>25.2</v>
      </c>
      <c r="D262">
        <v>0</v>
      </c>
      <c r="E262" t="s">
        <v>19</v>
      </c>
      <c r="F262" t="s">
        <v>6</v>
      </c>
      <c r="G262">
        <v>11837.16</v>
      </c>
      <c r="H262">
        <v>122.5</v>
      </c>
      <c r="I262" t="s">
        <v>2</v>
      </c>
      <c r="J262" t="b">
        <v>0</v>
      </c>
      <c r="K262" t="s">
        <v>14</v>
      </c>
      <c r="L262">
        <v>69301.91</v>
      </c>
      <c r="M262" t="str" cm="1">
        <f t="array" ref="M262">_xlfn.IFS(A262&lt;30,"Young",A262&lt;=50,"Adult",A262&gt;50,"Senior")</f>
        <v>Senior</v>
      </c>
    </row>
    <row r="263" spans="1:13" x14ac:dyDescent="0.3">
      <c r="A263">
        <v>20</v>
      </c>
      <c r="B263" t="s">
        <v>11</v>
      </c>
      <c r="C263">
        <v>26.84</v>
      </c>
      <c r="D263">
        <v>1</v>
      </c>
      <c r="E263" t="s">
        <v>18</v>
      </c>
      <c r="F263" t="s">
        <v>7</v>
      </c>
      <c r="G263">
        <v>17085.267599999999</v>
      </c>
      <c r="H263">
        <v>112.7</v>
      </c>
      <c r="I263" t="s">
        <v>3</v>
      </c>
      <c r="J263" t="b">
        <v>0</v>
      </c>
      <c r="K263" t="s">
        <v>15</v>
      </c>
      <c r="L263">
        <v>163908.92000000001</v>
      </c>
      <c r="M263" t="str" cm="1">
        <f t="array" ref="M263">_xlfn.IFS(A263&lt;30,"Young",A263&lt;=50,"Adult",A263&gt;50,"Senior")</f>
        <v>Young</v>
      </c>
    </row>
    <row r="264" spans="1:13" x14ac:dyDescent="0.3">
      <c r="A264">
        <v>52</v>
      </c>
      <c r="B264" t="s">
        <v>12</v>
      </c>
      <c r="C264">
        <v>24.32</v>
      </c>
      <c r="D264">
        <v>3</v>
      </c>
      <c r="E264" t="s">
        <v>18</v>
      </c>
      <c r="F264" t="s">
        <v>9</v>
      </c>
      <c r="G264">
        <v>24869.836800000001</v>
      </c>
      <c r="H264">
        <v>120.6</v>
      </c>
      <c r="I264" t="s">
        <v>1</v>
      </c>
      <c r="J264" t="b">
        <v>0</v>
      </c>
      <c r="K264" t="s">
        <v>15</v>
      </c>
      <c r="L264">
        <v>119062.18</v>
      </c>
      <c r="M264" t="str" cm="1">
        <f t="array" ref="M264">_xlfn.IFS(A264&lt;30,"Young",A264&lt;=50,"Adult",A264&gt;50,"Senior")</f>
        <v>Senior</v>
      </c>
    </row>
    <row r="265" spans="1:13" x14ac:dyDescent="0.3">
      <c r="A265">
        <v>19</v>
      </c>
      <c r="B265" t="s">
        <v>12</v>
      </c>
      <c r="C265">
        <v>36.954999999999998</v>
      </c>
      <c r="D265">
        <v>0</v>
      </c>
      <c r="E265" t="s">
        <v>18</v>
      </c>
      <c r="F265" t="s">
        <v>8</v>
      </c>
      <c r="G265">
        <v>36219.405449999998</v>
      </c>
      <c r="H265">
        <v>125.7</v>
      </c>
      <c r="I265" t="s">
        <v>1</v>
      </c>
      <c r="J265" t="b">
        <v>1</v>
      </c>
      <c r="K265" t="s">
        <v>15</v>
      </c>
      <c r="L265">
        <v>140935.13</v>
      </c>
      <c r="M265" t="str" cm="1">
        <f t="array" ref="M265">_xlfn.IFS(A265&lt;30,"Young",A265&lt;=50,"Adult",A265&gt;50,"Senior")</f>
        <v>Young</v>
      </c>
    </row>
    <row r="266" spans="1:13" x14ac:dyDescent="0.3">
      <c r="A266">
        <v>53</v>
      </c>
      <c r="B266" t="s">
        <v>11</v>
      </c>
      <c r="C266">
        <v>38.06</v>
      </c>
      <c r="D266">
        <v>3</v>
      </c>
      <c r="E266" t="s">
        <v>19</v>
      </c>
      <c r="F266" t="s">
        <v>7</v>
      </c>
      <c r="G266">
        <v>20462.997660000001</v>
      </c>
      <c r="H266">
        <v>139.1</v>
      </c>
      <c r="I266" t="s">
        <v>0</v>
      </c>
      <c r="J266" t="b">
        <v>0</v>
      </c>
      <c r="K266" t="s">
        <v>15</v>
      </c>
      <c r="L266">
        <v>85272.62</v>
      </c>
      <c r="M266" t="str" cm="1">
        <f t="array" ref="M266">_xlfn.IFS(A266&lt;30,"Young",A266&lt;=50,"Adult",A266&gt;50,"Senior")</f>
        <v>Senior</v>
      </c>
    </row>
    <row r="267" spans="1:13" x14ac:dyDescent="0.3">
      <c r="A267">
        <v>46</v>
      </c>
      <c r="B267" t="s">
        <v>12</v>
      </c>
      <c r="C267">
        <v>42.35</v>
      </c>
      <c r="D267">
        <v>3</v>
      </c>
      <c r="E267" t="s">
        <v>18</v>
      </c>
      <c r="F267" t="s">
        <v>7</v>
      </c>
      <c r="G267">
        <v>46151.124499999998</v>
      </c>
      <c r="H267">
        <v>129.6</v>
      </c>
      <c r="I267" t="s">
        <v>0</v>
      </c>
      <c r="J267" t="b">
        <v>1</v>
      </c>
      <c r="K267" t="s">
        <v>16</v>
      </c>
      <c r="L267">
        <v>50746.6</v>
      </c>
      <c r="M267" t="str" cm="1">
        <f t="array" ref="M267">_xlfn.IFS(A267&lt;30,"Young",A267&lt;=50,"Adult",A267&gt;50,"Senior")</f>
        <v>Adult</v>
      </c>
    </row>
    <row r="268" spans="1:13" x14ac:dyDescent="0.3">
      <c r="A268">
        <v>40</v>
      </c>
      <c r="B268" t="s">
        <v>12</v>
      </c>
      <c r="C268">
        <v>19.8</v>
      </c>
      <c r="D268">
        <v>1</v>
      </c>
      <c r="E268" t="s">
        <v>18</v>
      </c>
      <c r="F268" t="s">
        <v>7</v>
      </c>
      <c r="G268">
        <v>17179.522000000001</v>
      </c>
      <c r="H268">
        <v>133.69999999999999</v>
      </c>
      <c r="I268" t="s">
        <v>3</v>
      </c>
      <c r="J268" t="b">
        <v>0</v>
      </c>
      <c r="K268" t="s">
        <v>15</v>
      </c>
      <c r="L268">
        <v>41854.53</v>
      </c>
      <c r="M268" t="str" cm="1">
        <f t="array" ref="M268">_xlfn.IFS(A268&lt;30,"Young",A268&lt;=50,"Adult",A268&gt;50,"Senior")</f>
        <v>Adult</v>
      </c>
    </row>
    <row r="269" spans="1:13" x14ac:dyDescent="0.3">
      <c r="A269">
        <v>59</v>
      </c>
      <c r="B269" t="s">
        <v>11</v>
      </c>
      <c r="C269">
        <v>32.395000000000003</v>
      </c>
      <c r="D269">
        <v>3</v>
      </c>
      <c r="E269" t="s">
        <v>19</v>
      </c>
      <c r="F269" t="s">
        <v>9</v>
      </c>
      <c r="G269">
        <v>14590.63205</v>
      </c>
      <c r="H269">
        <v>121.3</v>
      </c>
      <c r="I269" t="s">
        <v>3</v>
      </c>
      <c r="J269" t="b">
        <v>0</v>
      </c>
      <c r="K269" t="s">
        <v>14</v>
      </c>
      <c r="L269">
        <v>36855.08</v>
      </c>
      <c r="M269" t="str" cm="1">
        <f t="array" ref="M269">_xlfn.IFS(A269&lt;30,"Young",A269&lt;=50,"Adult",A269&gt;50,"Senior")</f>
        <v>Senior</v>
      </c>
    </row>
    <row r="270" spans="1:13" x14ac:dyDescent="0.3">
      <c r="A270">
        <v>45</v>
      </c>
      <c r="B270" t="s">
        <v>12</v>
      </c>
      <c r="C270">
        <v>30.2</v>
      </c>
      <c r="D270">
        <v>1</v>
      </c>
      <c r="E270" t="s">
        <v>19</v>
      </c>
      <c r="F270" t="s">
        <v>6</v>
      </c>
      <c r="G270">
        <v>7441.0529999999999</v>
      </c>
      <c r="H270">
        <v>123.1</v>
      </c>
      <c r="I270" t="s">
        <v>0</v>
      </c>
      <c r="J270" t="b">
        <v>0</v>
      </c>
      <c r="K270" t="s">
        <v>16</v>
      </c>
      <c r="L270">
        <v>189214.26</v>
      </c>
      <c r="M270" t="str" cm="1">
        <f t="array" ref="M270">_xlfn.IFS(A270&lt;30,"Young",A270&lt;=50,"Adult",A270&gt;50,"Senior")</f>
        <v>Adult</v>
      </c>
    </row>
    <row r="271" spans="1:13" x14ac:dyDescent="0.3">
      <c r="A271">
        <v>49</v>
      </c>
      <c r="B271" t="s">
        <v>12</v>
      </c>
      <c r="C271">
        <v>25.84</v>
      </c>
      <c r="D271">
        <v>1</v>
      </c>
      <c r="E271" t="s">
        <v>19</v>
      </c>
      <c r="F271" t="s">
        <v>9</v>
      </c>
      <c r="G271">
        <v>9282.4806000000008</v>
      </c>
      <c r="H271">
        <v>120.9</v>
      </c>
      <c r="I271" t="s">
        <v>2</v>
      </c>
      <c r="J271" t="b">
        <v>0</v>
      </c>
      <c r="K271" t="s">
        <v>16</v>
      </c>
      <c r="L271">
        <v>193027.92</v>
      </c>
      <c r="M271" t="str" cm="1">
        <f t="array" ref="M271">_xlfn.IFS(A271&lt;30,"Young",A271&lt;=50,"Adult",A271&gt;50,"Senior")</f>
        <v>Adult</v>
      </c>
    </row>
    <row r="272" spans="1:13" x14ac:dyDescent="0.3">
      <c r="A272">
        <v>18</v>
      </c>
      <c r="B272" t="s">
        <v>12</v>
      </c>
      <c r="C272">
        <v>29.37</v>
      </c>
      <c r="D272">
        <v>1</v>
      </c>
      <c r="E272" t="s">
        <v>19</v>
      </c>
      <c r="F272" t="s">
        <v>7</v>
      </c>
      <c r="G272">
        <v>1719.4363000000001</v>
      </c>
      <c r="H272">
        <v>129.4</v>
      </c>
      <c r="I272" t="s">
        <v>2</v>
      </c>
      <c r="J272" t="b">
        <v>0</v>
      </c>
      <c r="K272" t="s">
        <v>15</v>
      </c>
      <c r="L272">
        <v>47443.13</v>
      </c>
      <c r="M272" t="str" cm="1">
        <f t="array" ref="M272">_xlfn.IFS(A272&lt;30,"Young",A272&lt;=50,"Adult",A272&gt;50,"Senior")</f>
        <v>Young</v>
      </c>
    </row>
    <row r="273" spans="1:13" x14ac:dyDescent="0.3">
      <c r="A273">
        <v>50</v>
      </c>
      <c r="B273" t="s">
        <v>12</v>
      </c>
      <c r="C273">
        <v>34.200000000000003</v>
      </c>
      <c r="D273">
        <v>2</v>
      </c>
      <c r="E273" t="s">
        <v>18</v>
      </c>
      <c r="F273" t="s">
        <v>6</v>
      </c>
      <c r="G273">
        <v>42856.838000000003</v>
      </c>
      <c r="H273">
        <v>110.7</v>
      </c>
      <c r="I273" t="s">
        <v>2</v>
      </c>
      <c r="J273" t="b">
        <v>0</v>
      </c>
      <c r="K273" t="s">
        <v>15</v>
      </c>
      <c r="L273">
        <v>90642.61</v>
      </c>
      <c r="M273" t="str" cm="1">
        <f t="array" ref="M273">_xlfn.IFS(A273&lt;30,"Young",A273&lt;=50,"Adult",A273&gt;50,"Senior")</f>
        <v>Adult</v>
      </c>
    </row>
    <row r="274" spans="1:13" x14ac:dyDescent="0.3">
      <c r="A274">
        <v>41</v>
      </c>
      <c r="B274" t="s">
        <v>12</v>
      </c>
      <c r="C274">
        <v>37.049999999999997</v>
      </c>
      <c r="D274">
        <v>2</v>
      </c>
      <c r="E274" t="s">
        <v>19</v>
      </c>
      <c r="F274" t="s">
        <v>8</v>
      </c>
      <c r="G274">
        <v>7265.7025000000003</v>
      </c>
      <c r="H274">
        <v>140</v>
      </c>
      <c r="I274" t="s">
        <v>2</v>
      </c>
      <c r="J274" t="b">
        <v>0</v>
      </c>
      <c r="K274" t="s">
        <v>15</v>
      </c>
      <c r="L274">
        <v>52201.82</v>
      </c>
      <c r="M274" t="str" cm="1">
        <f t="array" ref="M274">_xlfn.IFS(A274&lt;30,"Young",A274&lt;=50,"Adult",A274&gt;50,"Senior")</f>
        <v>Adult</v>
      </c>
    </row>
    <row r="275" spans="1:13" x14ac:dyDescent="0.3">
      <c r="A275">
        <v>50</v>
      </c>
      <c r="B275" t="s">
        <v>12</v>
      </c>
      <c r="C275">
        <v>27.454999999999998</v>
      </c>
      <c r="D275">
        <v>1</v>
      </c>
      <c r="E275" t="s">
        <v>19</v>
      </c>
      <c r="F275" t="s">
        <v>9</v>
      </c>
      <c r="G275">
        <v>9617.6624499999998</v>
      </c>
      <c r="H275">
        <v>136</v>
      </c>
      <c r="I275" t="s">
        <v>3</v>
      </c>
      <c r="J275" t="b">
        <v>1</v>
      </c>
      <c r="K275" t="s">
        <v>16</v>
      </c>
      <c r="L275">
        <v>76584.710000000006</v>
      </c>
      <c r="M275" t="str" cm="1">
        <f t="array" ref="M275">_xlfn.IFS(A275&lt;30,"Young",A275&lt;=50,"Adult",A275&gt;50,"Senior")</f>
        <v>Adult</v>
      </c>
    </row>
    <row r="276" spans="1:13" x14ac:dyDescent="0.3">
      <c r="A276">
        <v>25</v>
      </c>
      <c r="B276" t="s">
        <v>12</v>
      </c>
      <c r="C276">
        <v>27.55</v>
      </c>
      <c r="D276">
        <v>0</v>
      </c>
      <c r="E276" t="s">
        <v>19</v>
      </c>
      <c r="F276" t="s">
        <v>8</v>
      </c>
      <c r="G276">
        <v>2523.1695</v>
      </c>
      <c r="H276">
        <v>138.1</v>
      </c>
      <c r="I276" t="s">
        <v>0</v>
      </c>
      <c r="J276" t="b">
        <v>1</v>
      </c>
      <c r="K276" t="s">
        <v>15</v>
      </c>
      <c r="L276">
        <v>36212.839999999997</v>
      </c>
      <c r="M276" t="str" cm="1">
        <f t="array" ref="M276">_xlfn.IFS(A276&lt;30,"Young",A276&lt;=50,"Adult",A276&gt;50,"Senior")</f>
        <v>Young</v>
      </c>
    </row>
    <row r="277" spans="1:13" x14ac:dyDescent="0.3">
      <c r="A277">
        <v>47</v>
      </c>
      <c r="B277" t="s">
        <v>11</v>
      </c>
      <c r="C277">
        <v>26.6</v>
      </c>
      <c r="D277">
        <v>2</v>
      </c>
      <c r="E277" t="s">
        <v>19</v>
      </c>
      <c r="F277" t="s">
        <v>9</v>
      </c>
      <c r="G277">
        <v>9715.8410000000003</v>
      </c>
      <c r="H277">
        <v>120.9</v>
      </c>
      <c r="I277" t="s">
        <v>1</v>
      </c>
      <c r="J277" t="b">
        <v>0</v>
      </c>
      <c r="K277" t="s">
        <v>14</v>
      </c>
      <c r="L277">
        <v>69052.149999999994</v>
      </c>
      <c r="M277" t="str" cm="1">
        <f t="array" ref="M277">_xlfn.IFS(A277&lt;30,"Young",A277&lt;=50,"Adult",A277&gt;50,"Senior")</f>
        <v>Adult</v>
      </c>
    </row>
    <row r="278" spans="1:13" x14ac:dyDescent="0.3">
      <c r="A278">
        <v>19</v>
      </c>
      <c r="B278" t="s">
        <v>12</v>
      </c>
      <c r="C278">
        <v>20.614999999999998</v>
      </c>
      <c r="D278">
        <v>2</v>
      </c>
      <c r="E278" t="s">
        <v>19</v>
      </c>
      <c r="F278" t="s">
        <v>8</v>
      </c>
      <c r="G278">
        <v>2803.69785</v>
      </c>
      <c r="H278">
        <v>129.19999999999999</v>
      </c>
      <c r="I278" t="s">
        <v>1</v>
      </c>
      <c r="J278" t="b">
        <v>1</v>
      </c>
      <c r="K278" t="s">
        <v>16</v>
      </c>
      <c r="L278">
        <v>64136.71</v>
      </c>
      <c r="M278" t="str" cm="1">
        <f t="array" ref="M278">_xlfn.IFS(A278&lt;30,"Young",A278&lt;=50,"Adult",A278&gt;50,"Senior")</f>
        <v>Young</v>
      </c>
    </row>
    <row r="279" spans="1:13" x14ac:dyDescent="0.3">
      <c r="A279">
        <v>22</v>
      </c>
      <c r="B279" t="s">
        <v>11</v>
      </c>
      <c r="C279">
        <v>24.3</v>
      </c>
      <c r="D279">
        <v>0</v>
      </c>
      <c r="E279" t="s">
        <v>19</v>
      </c>
      <c r="F279" t="s">
        <v>6</v>
      </c>
      <c r="G279">
        <v>2150.4690000000001</v>
      </c>
      <c r="H279">
        <v>125.1</v>
      </c>
      <c r="I279" t="s">
        <v>0</v>
      </c>
      <c r="J279" t="b">
        <v>1</v>
      </c>
      <c r="K279" t="s">
        <v>16</v>
      </c>
      <c r="L279">
        <v>122390.73</v>
      </c>
      <c r="M279" t="str" cm="1">
        <f t="array" ref="M279">_xlfn.IFS(A279&lt;30,"Young",A279&lt;=50,"Adult",A279&gt;50,"Senior")</f>
        <v>Young</v>
      </c>
    </row>
    <row r="280" spans="1:13" x14ac:dyDescent="0.3">
      <c r="A280">
        <v>59</v>
      </c>
      <c r="B280" t="s">
        <v>12</v>
      </c>
      <c r="C280">
        <v>31.79</v>
      </c>
      <c r="D280">
        <v>2</v>
      </c>
      <c r="E280" t="s">
        <v>19</v>
      </c>
      <c r="F280" t="s">
        <v>7</v>
      </c>
      <c r="G280">
        <v>12928.7911</v>
      </c>
      <c r="H280">
        <v>139.30000000000001</v>
      </c>
      <c r="I280" t="s">
        <v>1</v>
      </c>
      <c r="J280" t="b">
        <v>1</v>
      </c>
      <c r="K280" t="s">
        <v>14</v>
      </c>
      <c r="L280">
        <v>155603.72</v>
      </c>
      <c r="M280" t="str" cm="1">
        <f t="array" ref="M280">_xlfn.IFS(A280&lt;30,"Young",A280&lt;=50,"Adult",A280&gt;50,"Senior")</f>
        <v>Senior</v>
      </c>
    </row>
    <row r="281" spans="1:13" x14ac:dyDescent="0.3">
      <c r="A281">
        <v>51</v>
      </c>
      <c r="B281" t="s">
        <v>11</v>
      </c>
      <c r="C281">
        <v>21.56</v>
      </c>
      <c r="D281">
        <v>1</v>
      </c>
      <c r="E281" t="s">
        <v>19</v>
      </c>
      <c r="F281" t="s">
        <v>7</v>
      </c>
      <c r="G281">
        <v>9855.1314000000002</v>
      </c>
      <c r="H281">
        <v>139.6</v>
      </c>
      <c r="I281" t="s">
        <v>3</v>
      </c>
      <c r="J281" t="b">
        <v>1</v>
      </c>
      <c r="K281" t="s">
        <v>14</v>
      </c>
      <c r="L281">
        <v>66777.41</v>
      </c>
      <c r="M281" t="str" cm="1">
        <f t="array" ref="M281">_xlfn.IFS(A281&lt;30,"Young",A281&lt;=50,"Adult",A281&gt;50,"Senior")</f>
        <v>Senior</v>
      </c>
    </row>
    <row r="282" spans="1:13" x14ac:dyDescent="0.3">
      <c r="A282">
        <v>40</v>
      </c>
      <c r="B282" t="s">
        <v>11</v>
      </c>
      <c r="C282">
        <v>28.12</v>
      </c>
      <c r="D282">
        <v>1</v>
      </c>
      <c r="E282" t="s">
        <v>18</v>
      </c>
      <c r="F282" t="s">
        <v>9</v>
      </c>
      <c r="G282">
        <v>22331.566800000001</v>
      </c>
      <c r="H282">
        <v>123.5</v>
      </c>
      <c r="I282" t="s">
        <v>3</v>
      </c>
      <c r="J282" t="b">
        <v>0</v>
      </c>
      <c r="K282" t="s">
        <v>14</v>
      </c>
      <c r="L282">
        <v>189841.82</v>
      </c>
      <c r="M282" t="str" cm="1">
        <f t="array" ref="M282">_xlfn.IFS(A282&lt;30,"Young",A282&lt;=50,"Adult",A282&gt;50,"Senior")</f>
        <v>Adult</v>
      </c>
    </row>
    <row r="283" spans="1:13" x14ac:dyDescent="0.3">
      <c r="A283">
        <v>54</v>
      </c>
      <c r="B283" t="s">
        <v>12</v>
      </c>
      <c r="C283">
        <v>40.564999999999998</v>
      </c>
      <c r="D283">
        <v>3</v>
      </c>
      <c r="E283" t="s">
        <v>18</v>
      </c>
      <c r="F283" t="s">
        <v>9</v>
      </c>
      <c r="G283">
        <v>48549.178350000002</v>
      </c>
      <c r="H283">
        <v>136.5</v>
      </c>
      <c r="I283" t="s">
        <v>2</v>
      </c>
      <c r="J283" t="b">
        <v>0</v>
      </c>
      <c r="K283" t="s">
        <v>15</v>
      </c>
      <c r="L283">
        <v>150958.56</v>
      </c>
      <c r="M283" t="str" cm="1">
        <f t="array" ref="M283">_xlfn.IFS(A283&lt;30,"Young",A283&lt;=50,"Adult",A283&gt;50,"Senior")</f>
        <v>Senior</v>
      </c>
    </row>
    <row r="284" spans="1:13" x14ac:dyDescent="0.3">
      <c r="A284">
        <v>30</v>
      </c>
      <c r="B284" t="s">
        <v>12</v>
      </c>
      <c r="C284">
        <v>27.645</v>
      </c>
      <c r="D284">
        <v>1</v>
      </c>
      <c r="E284" t="s">
        <v>19</v>
      </c>
      <c r="F284" t="s">
        <v>9</v>
      </c>
      <c r="G284">
        <v>4237.12655</v>
      </c>
      <c r="H284">
        <v>117.9</v>
      </c>
      <c r="I284" t="s">
        <v>2</v>
      </c>
      <c r="J284" t="b">
        <v>1</v>
      </c>
      <c r="K284" t="s">
        <v>15</v>
      </c>
      <c r="L284">
        <v>146969.60000000001</v>
      </c>
      <c r="M284" t="str" cm="1">
        <f t="array" ref="M284">_xlfn.IFS(A284&lt;30,"Young",A284&lt;=50,"Adult",A284&gt;50,"Senior")</f>
        <v>Adult</v>
      </c>
    </row>
    <row r="285" spans="1:13" x14ac:dyDescent="0.3">
      <c r="A285">
        <v>55</v>
      </c>
      <c r="B285" t="s">
        <v>11</v>
      </c>
      <c r="C285">
        <v>32.395000000000003</v>
      </c>
      <c r="D285">
        <v>1</v>
      </c>
      <c r="E285" t="s">
        <v>19</v>
      </c>
      <c r="F285" t="s">
        <v>9</v>
      </c>
      <c r="G285">
        <v>11879.10405</v>
      </c>
      <c r="H285">
        <v>137.30000000000001</v>
      </c>
      <c r="I285" t="s">
        <v>1</v>
      </c>
      <c r="J285" t="b">
        <v>0</v>
      </c>
      <c r="K285" t="s">
        <v>16</v>
      </c>
      <c r="L285">
        <v>104461.41</v>
      </c>
      <c r="M285" t="str" cm="1">
        <f t="array" ref="M285">_xlfn.IFS(A285&lt;30,"Young",A285&lt;=50,"Adult",A285&gt;50,"Senior")</f>
        <v>Senior</v>
      </c>
    </row>
    <row r="286" spans="1:13" x14ac:dyDescent="0.3">
      <c r="A286">
        <v>52</v>
      </c>
      <c r="B286" t="s">
        <v>11</v>
      </c>
      <c r="C286">
        <v>31.2</v>
      </c>
      <c r="D286">
        <v>0</v>
      </c>
      <c r="E286" t="s">
        <v>19</v>
      </c>
      <c r="F286" t="s">
        <v>6</v>
      </c>
      <c r="G286">
        <v>9625.92</v>
      </c>
      <c r="H286">
        <v>111.4</v>
      </c>
      <c r="I286" t="s">
        <v>3</v>
      </c>
      <c r="J286" t="b">
        <v>0</v>
      </c>
      <c r="K286" t="s">
        <v>16</v>
      </c>
      <c r="L286">
        <v>127500.48</v>
      </c>
      <c r="M286" t="str" cm="1">
        <f t="array" ref="M286">_xlfn.IFS(A286&lt;30,"Young",A286&lt;=50,"Adult",A286&gt;50,"Senior")</f>
        <v>Senior</v>
      </c>
    </row>
    <row r="287" spans="1:13" x14ac:dyDescent="0.3">
      <c r="A287">
        <v>46</v>
      </c>
      <c r="B287" t="s">
        <v>12</v>
      </c>
      <c r="C287">
        <v>26.62</v>
      </c>
      <c r="D287">
        <v>1</v>
      </c>
      <c r="E287" t="s">
        <v>19</v>
      </c>
      <c r="F287" t="s">
        <v>7</v>
      </c>
      <c r="G287">
        <v>7742.1098000000002</v>
      </c>
      <c r="H287">
        <v>113.6</v>
      </c>
      <c r="I287" t="s">
        <v>1</v>
      </c>
      <c r="J287" t="b">
        <v>0</v>
      </c>
      <c r="K287" t="s">
        <v>15</v>
      </c>
      <c r="L287">
        <v>60235.39</v>
      </c>
      <c r="M287" t="str" cm="1">
        <f t="array" ref="M287">_xlfn.IFS(A287&lt;30,"Young",A287&lt;=50,"Adult",A287&gt;50,"Senior")</f>
        <v>Adult</v>
      </c>
    </row>
    <row r="288" spans="1:13" x14ac:dyDescent="0.3">
      <c r="A288">
        <v>46</v>
      </c>
      <c r="B288" t="s">
        <v>11</v>
      </c>
      <c r="C288">
        <v>48.07</v>
      </c>
      <c r="D288">
        <v>2</v>
      </c>
      <c r="E288" t="s">
        <v>19</v>
      </c>
      <c r="F288" t="s">
        <v>9</v>
      </c>
      <c r="G288">
        <v>9432.9253000000008</v>
      </c>
      <c r="H288">
        <v>135.5</v>
      </c>
      <c r="I288" t="s">
        <v>3</v>
      </c>
      <c r="J288" t="b">
        <v>0</v>
      </c>
      <c r="K288" t="s">
        <v>16</v>
      </c>
      <c r="L288">
        <v>132272.91</v>
      </c>
      <c r="M288" t="str" cm="1">
        <f t="array" ref="M288">_xlfn.IFS(A288&lt;30,"Young",A288&lt;=50,"Adult",A288&gt;50,"Senior")</f>
        <v>Adult</v>
      </c>
    </row>
    <row r="289" spans="1:13" x14ac:dyDescent="0.3">
      <c r="A289">
        <v>63</v>
      </c>
      <c r="B289" t="s">
        <v>11</v>
      </c>
      <c r="C289">
        <v>26.22</v>
      </c>
      <c r="D289">
        <v>0</v>
      </c>
      <c r="E289" t="s">
        <v>19</v>
      </c>
      <c r="F289" t="s">
        <v>8</v>
      </c>
      <c r="G289">
        <v>14256.192800000001</v>
      </c>
      <c r="H289">
        <v>137.30000000000001</v>
      </c>
      <c r="I289" t="s">
        <v>3</v>
      </c>
      <c r="J289" t="b">
        <v>0</v>
      </c>
      <c r="K289" t="s">
        <v>15</v>
      </c>
      <c r="L289">
        <v>35056.21</v>
      </c>
      <c r="M289" t="str" cm="1">
        <f t="array" ref="M289">_xlfn.IFS(A289&lt;30,"Young",A289&lt;=50,"Adult",A289&gt;50,"Senior")</f>
        <v>Senior</v>
      </c>
    </row>
    <row r="290" spans="1:13" x14ac:dyDescent="0.3">
      <c r="A290">
        <v>59</v>
      </c>
      <c r="B290" t="s">
        <v>11</v>
      </c>
      <c r="C290">
        <v>36.765000000000001</v>
      </c>
      <c r="D290">
        <v>1</v>
      </c>
      <c r="E290" t="s">
        <v>18</v>
      </c>
      <c r="F290" t="s">
        <v>9</v>
      </c>
      <c r="G290">
        <v>47896.79135</v>
      </c>
      <c r="H290">
        <v>136.69999999999999</v>
      </c>
      <c r="I290" t="s">
        <v>0</v>
      </c>
      <c r="J290" t="b">
        <v>0</v>
      </c>
      <c r="K290" t="s">
        <v>15</v>
      </c>
      <c r="L290">
        <v>58321.09</v>
      </c>
      <c r="M290" t="str" cm="1">
        <f t="array" ref="M290">_xlfn.IFS(A290&lt;30,"Young",A290&lt;=50,"Adult",A290&gt;50,"Senior")</f>
        <v>Senior</v>
      </c>
    </row>
    <row r="291" spans="1:13" x14ac:dyDescent="0.3">
      <c r="A291">
        <v>52</v>
      </c>
      <c r="B291" t="s">
        <v>12</v>
      </c>
      <c r="C291">
        <v>26.4</v>
      </c>
      <c r="D291">
        <v>3</v>
      </c>
      <c r="E291" t="s">
        <v>19</v>
      </c>
      <c r="F291" t="s">
        <v>7</v>
      </c>
      <c r="G291">
        <v>25992.821039999999</v>
      </c>
      <c r="H291">
        <v>120.5</v>
      </c>
      <c r="I291" t="s">
        <v>3</v>
      </c>
      <c r="J291" t="b">
        <v>1</v>
      </c>
      <c r="K291" t="s">
        <v>14</v>
      </c>
      <c r="L291">
        <v>156218.79999999999</v>
      </c>
      <c r="M291" t="str" cm="1">
        <f t="array" ref="M291">_xlfn.IFS(A291&lt;30,"Young",A291&lt;=50,"Adult",A291&gt;50,"Senior")</f>
        <v>Senior</v>
      </c>
    </row>
    <row r="292" spans="1:13" x14ac:dyDescent="0.3">
      <c r="A292">
        <v>28</v>
      </c>
      <c r="B292" t="s">
        <v>11</v>
      </c>
      <c r="C292">
        <v>33.4</v>
      </c>
      <c r="D292">
        <v>0</v>
      </c>
      <c r="E292" t="s">
        <v>19</v>
      </c>
      <c r="F292" t="s">
        <v>6</v>
      </c>
      <c r="G292">
        <v>3172.018</v>
      </c>
      <c r="H292">
        <v>133.9</v>
      </c>
      <c r="I292" t="s">
        <v>1</v>
      </c>
      <c r="J292" t="b">
        <v>1</v>
      </c>
      <c r="K292" t="s">
        <v>15</v>
      </c>
      <c r="L292">
        <v>51796.49</v>
      </c>
      <c r="M292" t="str" cm="1">
        <f t="array" ref="M292">_xlfn.IFS(A292&lt;30,"Young",A292&lt;=50,"Adult",A292&gt;50,"Senior")</f>
        <v>Young</v>
      </c>
    </row>
    <row r="293" spans="1:13" x14ac:dyDescent="0.3">
      <c r="A293">
        <v>29</v>
      </c>
      <c r="B293" t="s">
        <v>12</v>
      </c>
      <c r="C293">
        <v>29.64</v>
      </c>
      <c r="D293">
        <v>1</v>
      </c>
      <c r="E293" t="s">
        <v>19</v>
      </c>
      <c r="F293" t="s">
        <v>9</v>
      </c>
      <c r="G293">
        <v>20277.807509999999</v>
      </c>
      <c r="H293">
        <v>132.69999999999999</v>
      </c>
      <c r="I293" t="s">
        <v>2</v>
      </c>
      <c r="J293" t="b">
        <v>0</v>
      </c>
      <c r="K293" t="s">
        <v>15</v>
      </c>
      <c r="L293">
        <v>47550.239999999998</v>
      </c>
      <c r="M293" t="str" cm="1">
        <f t="array" ref="M293">_xlfn.IFS(A293&lt;30,"Young",A293&lt;=50,"Adult",A293&gt;50,"Senior")</f>
        <v>Young</v>
      </c>
    </row>
    <row r="294" spans="1:13" x14ac:dyDescent="0.3">
      <c r="A294">
        <v>25</v>
      </c>
      <c r="B294" t="s">
        <v>12</v>
      </c>
      <c r="C294">
        <v>45.54</v>
      </c>
      <c r="D294">
        <v>2</v>
      </c>
      <c r="E294" t="s">
        <v>18</v>
      </c>
      <c r="F294" t="s">
        <v>7</v>
      </c>
      <c r="G294">
        <v>42112.2356</v>
      </c>
      <c r="H294">
        <v>135.80000000000001</v>
      </c>
      <c r="I294" t="s">
        <v>0</v>
      </c>
      <c r="J294" t="b">
        <v>0</v>
      </c>
      <c r="K294" t="s">
        <v>14</v>
      </c>
      <c r="L294">
        <v>56456.72</v>
      </c>
      <c r="M294" t="str" cm="1">
        <f t="array" ref="M294">_xlfn.IFS(A294&lt;30,"Young",A294&lt;=50,"Adult",A294&gt;50,"Senior")</f>
        <v>Young</v>
      </c>
    </row>
    <row r="295" spans="1:13" x14ac:dyDescent="0.3">
      <c r="A295">
        <v>22</v>
      </c>
      <c r="B295" t="s">
        <v>11</v>
      </c>
      <c r="C295">
        <v>28.82</v>
      </c>
      <c r="D295">
        <v>0</v>
      </c>
      <c r="E295" t="s">
        <v>19</v>
      </c>
      <c r="F295" t="s">
        <v>7</v>
      </c>
      <c r="G295">
        <v>2156.7518</v>
      </c>
      <c r="H295">
        <v>136.19999999999999</v>
      </c>
      <c r="I295" t="s">
        <v>2</v>
      </c>
      <c r="J295" t="b">
        <v>0</v>
      </c>
      <c r="K295" t="s">
        <v>15</v>
      </c>
      <c r="L295">
        <v>145656.42000000001</v>
      </c>
      <c r="M295" t="str" cm="1">
        <f t="array" ref="M295">_xlfn.IFS(A295&lt;30,"Young",A295&lt;=50,"Adult",A295&gt;50,"Senior")</f>
        <v>Young</v>
      </c>
    </row>
    <row r="296" spans="1:13" x14ac:dyDescent="0.3">
      <c r="A296">
        <v>25</v>
      </c>
      <c r="B296" t="s">
        <v>12</v>
      </c>
      <c r="C296">
        <v>26.8</v>
      </c>
      <c r="D296">
        <v>3</v>
      </c>
      <c r="E296" t="s">
        <v>19</v>
      </c>
      <c r="F296" t="s">
        <v>6</v>
      </c>
      <c r="G296">
        <v>3906.127</v>
      </c>
      <c r="H296">
        <v>124.7</v>
      </c>
      <c r="I296" t="s">
        <v>1</v>
      </c>
      <c r="J296" t="b">
        <v>0</v>
      </c>
      <c r="K296" t="s">
        <v>15</v>
      </c>
      <c r="L296">
        <v>143794.22</v>
      </c>
      <c r="M296" t="str" cm="1">
        <f t="array" ref="M296">_xlfn.IFS(A296&lt;30,"Young",A296&lt;=50,"Adult",A296&gt;50,"Senior")</f>
        <v>Young</v>
      </c>
    </row>
    <row r="297" spans="1:13" x14ac:dyDescent="0.3">
      <c r="A297">
        <v>18</v>
      </c>
      <c r="B297" t="s">
        <v>12</v>
      </c>
      <c r="C297">
        <v>22.99</v>
      </c>
      <c r="D297">
        <v>0</v>
      </c>
      <c r="E297" t="s">
        <v>19</v>
      </c>
      <c r="F297" t="s">
        <v>9</v>
      </c>
      <c r="G297">
        <v>1704.5681</v>
      </c>
      <c r="H297">
        <v>139.30000000000001</v>
      </c>
      <c r="I297" t="s">
        <v>3</v>
      </c>
      <c r="J297" t="b">
        <v>1</v>
      </c>
      <c r="K297" t="s">
        <v>16</v>
      </c>
      <c r="L297">
        <v>95176.27</v>
      </c>
      <c r="M297" t="str" cm="1">
        <f t="array" ref="M297">_xlfn.IFS(A297&lt;30,"Young",A297&lt;=50,"Adult",A297&gt;50,"Senior")</f>
        <v>Young</v>
      </c>
    </row>
    <row r="298" spans="1:13" x14ac:dyDescent="0.3">
      <c r="A298">
        <v>19</v>
      </c>
      <c r="B298" t="s">
        <v>12</v>
      </c>
      <c r="C298">
        <v>27.7</v>
      </c>
      <c r="D298">
        <v>0</v>
      </c>
      <c r="E298" t="s">
        <v>18</v>
      </c>
      <c r="F298" t="s">
        <v>6</v>
      </c>
      <c r="G298">
        <v>16297.846</v>
      </c>
      <c r="H298">
        <v>132.5</v>
      </c>
      <c r="I298" t="s">
        <v>3</v>
      </c>
      <c r="J298" t="b">
        <v>1</v>
      </c>
      <c r="K298" t="s">
        <v>16</v>
      </c>
      <c r="L298">
        <v>47411.26</v>
      </c>
      <c r="M298" t="str" cm="1">
        <f t="array" ref="M298">_xlfn.IFS(A298&lt;30,"Young",A298&lt;=50,"Adult",A298&gt;50,"Senior")</f>
        <v>Young</v>
      </c>
    </row>
    <row r="299" spans="1:13" x14ac:dyDescent="0.3">
      <c r="A299">
        <v>47</v>
      </c>
      <c r="B299" t="s">
        <v>12</v>
      </c>
      <c r="C299">
        <v>25.41</v>
      </c>
      <c r="D299">
        <v>1</v>
      </c>
      <c r="E299" t="s">
        <v>18</v>
      </c>
      <c r="F299" t="s">
        <v>7</v>
      </c>
      <c r="G299">
        <v>21978.676899999999</v>
      </c>
      <c r="H299">
        <v>110.5</v>
      </c>
      <c r="I299" t="s">
        <v>1</v>
      </c>
      <c r="J299" t="b">
        <v>0</v>
      </c>
      <c r="K299" t="s">
        <v>16</v>
      </c>
      <c r="L299">
        <v>105149.9</v>
      </c>
      <c r="M299" t="str" cm="1">
        <f t="array" ref="M299">_xlfn.IFS(A299&lt;30,"Young",A299&lt;=50,"Adult",A299&gt;50,"Senior")</f>
        <v>Adult</v>
      </c>
    </row>
    <row r="300" spans="1:13" x14ac:dyDescent="0.3">
      <c r="A300">
        <v>31</v>
      </c>
      <c r="B300" t="s">
        <v>12</v>
      </c>
      <c r="C300">
        <v>34.39</v>
      </c>
      <c r="D300">
        <v>3</v>
      </c>
      <c r="E300" t="s">
        <v>18</v>
      </c>
      <c r="F300" t="s">
        <v>8</v>
      </c>
      <c r="G300">
        <v>38746.355100000001</v>
      </c>
      <c r="H300">
        <v>135.1</v>
      </c>
      <c r="I300" t="s">
        <v>1</v>
      </c>
      <c r="J300" t="b">
        <v>0</v>
      </c>
      <c r="K300" t="s">
        <v>16</v>
      </c>
      <c r="L300">
        <v>164341.10999999999</v>
      </c>
      <c r="M300" t="str" cm="1">
        <f t="array" ref="M300">_xlfn.IFS(A300&lt;30,"Young",A300&lt;=50,"Adult",A300&gt;50,"Senior")</f>
        <v>Adult</v>
      </c>
    </row>
    <row r="301" spans="1:13" x14ac:dyDescent="0.3">
      <c r="A301">
        <v>48</v>
      </c>
      <c r="B301" t="s">
        <v>11</v>
      </c>
      <c r="C301">
        <v>28.88</v>
      </c>
      <c r="D301">
        <v>1</v>
      </c>
      <c r="E301" t="s">
        <v>19</v>
      </c>
      <c r="F301" t="s">
        <v>8</v>
      </c>
      <c r="G301">
        <v>9249.4951999999994</v>
      </c>
      <c r="H301">
        <v>118</v>
      </c>
      <c r="I301" t="s">
        <v>3</v>
      </c>
      <c r="J301" t="b">
        <v>1</v>
      </c>
      <c r="K301" t="s">
        <v>14</v>
      </c>
      <c r="L301">
        <v>111094.84</v>
      </c>
      <c r="M301" t="str" cm="1">
        <f t="array" ref="M301">_xlfn.IFS(A301&lt;30,"Young",A301&lt;=50,"Adult",A301&gt;50,"Senior")</f>
        <v>Adult</v>
      </c>
    </row>
    <row r="302" spans="1:13" x14ac:dyDescent="0.3">
      <c r="A302">
        <v>36</v>
      </c>
      <c r="B302" t="s">
        <v>12</v>
      </c>
      <c r="C302">
        <v>27.55</v>
      </c>
      <c r="D302">
        <v>3</v>
      </c>
      <c r="E302" t="s">
        <v>19</v>
      </c>
      <c r="F302" t="s">
        <v>9</v>
      </c>
      <c r="G302">
        <v>6746.7425000000003</v>
      </c>
      <c r="H302">
        <v>126.9</v>
      </c>
      <c r="I302" t="s">
        <v>2</v>
      </c>
      <c r="J302" t="b">
        <v>1</v>
      </c>
      <c r="K302" t="s">
        <v>15</v>
      </c>
      <c r="L302">
        <v>115663.07</v>
      </c>
      <c r="M302" t="str" cm="1">
        <f t="array" ref="M302">_xlfn.IFS(A302&lt;30,"Young",A302&lt;=50,"Adult",A302&gt;50,"Senior")</f>
        <v>Adult</v>
      </c>
    </row>
    <row r="303" spans="1:13" x14ac:dyDescent="0.3">
      <c r="A303">
        <v>53</v>
      </c>
      <c r="B303" t="s">
        <v>11</v>
      </c>
      <c r="C303">
        <v>22.61</v>
      </c>
      <c r="D303">
        <v>3</v>
      </c>
      <c r="E303" t="s">
        <v>18</v>
      </c>
      <c r="F303" t="s">
        <v>9</v>
      </c>
      <c r="G303">
        <v>24873.384900000001</v>
      </c>
      <c r="H303">
        <v>123.1</v>
      </c>
      <c r="I303" t="s">
        <v>1</v>
      </c>
      <c r="J303" t="b">
        <v>1</v>
      </c>
      <c r="K303" t="s">
        <v>16</v>
      </c>
      <c r="L303">
        <v>66270.84</v>
      </c>
      <c r="M303" t="str" cm="1">
        <f t="array" ref="M303">_xlfn.IFS(A303&lt;30,"Young",A303&lt;=50,"Adult",A303&gt;50,"Senior")</f>
        <v>Senior</v>
      </c>
    </row>
    <row r="304" spans="1:13" x14ac:dyDescent="0.3">
      <c r="A304">
        <v>56</v>
      </c>
      <c r="B304" t="s">
        <v>11</v>
      </c>
      <c r="C304">
        <v>37.51</v>
      </c>
      <c r="D304">
        <v>2</v>
      </c>
      <c r="E304" t="s">
        <v>19</v>
      </c>
      <c r="F304" t="s">
        <v>7</v>
      </c>
      <c r="G304">
        <v>12265.5069</v>
      </c>
      <c r="H304">
        <v>130.69999999999999</v>
      </c>
      <c r="I304" t="s">
        <v>1</v>
      </c>
      <c r="J304" t="b">
        <v>0</v>
      </c>
      <c r="K304" t="s">
        <v>14</v>
      </c>
      <c r="L304">
        <v>150982.49</v>
      </c>
      <c r="M304" t="str" cm="1">
        <f t="array" ref="M304">_xlfn.IFS(A304&lt;30,"Young",A304&lt;=50,"Adult",A304&gt;50,"Senior")</f>
        <v>Senior</v>
      </c>
    </row>
    <row r="305" spans="1:13" x14ac:dyDescent="0.3">
      <c r="A305">
        <v>28</v>
      </c>
      <c r="B305" t="s">
        <v>11</v>
      </c>
      <c r="C305">
        <v>33</v>
      </c>
      <c r="D305">
        <v>2</v>
      </c>
      <c r="E305" t="s">
        <v>19</v>
      </c>
      <c r="F305" t="s">
        <v>7</v>
      </c>
      <c r="G305">
        <v>4349.4620000000004</v>
      </c>
      <c r="H305">
        <v>126.9</v>
      </c>
      <c r="I305" t="s">
        <v>0</v>
      </c>
      <c r="J305" t="b">
        <v>1</v>
      </c>
      <c r="K305" t="s">
        <v>16</v>
      </c>
      <c r="L305">
        <v>187786.17</v>
      </c>
      <c r="M305" t="str" cm="1">
        <f t="array" ref="M305">_xlfn.IFS(A305&lt;30,"Young",A305&lt;=50,"Adult",A305&gt;50,"Senior")</f>
        <v>Young</v>
      </c>
    </row>
    <row r="306" spans="1:13" x14ac:dyDescent="0.3">
      <c r="A306">
        <v>57</v>
      </c>
      <c r="B306" t="s">
        <v>11</v>
      </c>
      <c r="C306">
        <v>38</v>
      </c>
      <c r="D306">
        <v>2</v>
      </c>
      <c r="E306" t="s">
        <v>19</v>
      </c>
      <c r="F306" t="s">
        <v>6</v>
      </c>
      <c r="G306">
        <v>12646.207</v>
      </c>
      <c r="H306">
        <v>139.4</v>
      </c>
      <c r="I306" t="s">
        <v>0</v>
      </c>
      <c r="J306" t="b">
        <v>0</v>
      </c>
      <c r="K306" t="s">
        <v>16</v>
      </c>
      <c r="L306">
        <v>185399.37</v>
      </c>
      <c r="M306" t="str" cm="1">
        <f t="array" ref="M306">_xlfn.IFS(A306&lt;30,"Young",A306&lt;=50,"Adult",A306&gt;50,"Senior")</f>
        <v>Senior</v>
      </c>
    </row>
    <row r="307" spans="1:13" x14ac:dyDescent="0.3">
      <c r="A307">
        <v>29</v>
      </c>
      <c r="B307" t="s">
        <v>12</v>
      </c>
      <c r="C307">
        <v>33.344999999999999</v>
      </c>
      <c r="D307">
        <v>2</v>
      </c>
      <c r="E307" t="s">
        <v>19</v>
      </c>
      <c r="F307" t="s">
        <v>8</v>
      </c>
      <c r="G307">
        <v>19442.353500000001</v>
      </c>
      <c r="H307">
        <v>135.4</v>
      </c>
      <c r="I307" t="s">
        <v>3</v>
      </c>
      <c r="J307" t="b">
        <v>1</v>
      </c>
      <c r="K307" t="s">
        <v>15</v>
      </c>
      <c r="L307">
        <v>153155.17000000001</v>
      </c>
      <c r="M307" t="str" cm="1">
        <f t="array" ref="M307">_xlfn.IFS(A307&lt;30,"Young",A307&lt;=50,"Adult",A307&gt;50,"Senior")</f>
        <v>Young</v>
      </c>
    </row>
    <row r="308" spans="1:13" x14ac:dyDescent="0.3">
      <c r="A308">
        <v>28</v>
      </c>
      <c r="B308" t="s">
        <v>11</v>
      </c>
      <c r="C308">
        <v>27.5</v>
      </c>
      <c r="D308">
        <v>2</v>
      </c>
      <c r="E308" t="s">
        <v>19</v>
      </c>
      <c r="F308" t="s">
        <v>6</v>
      </c>
      <c r="G308">
        <v>20177.671129999999</v>
      </c>
      <c r="H308">
        <v>129.69999999999999</v>
      </c>
      <c r="I308" t="s">
        <v>3</v>
      </c>
      <c r="J308" t="b">
        <v>1</v>
      </c>
      <c r="K308" t="s">
        <v>16</v>
      </c>
      <c r="L308">
        <v>118757.2</v>
      </c>
      <c r="M308" t="str" cm="1">
        <f t="array" ref="M308">_xlfn.IFS(A308&lt;30,"Young",A308&lt;=50,"Adult",A308&gt;50,"Senior")</f>
        <v>Young</v>
      </c>
    </row>
    <row r="309" spans="1:13" x14ac:dyDescent="0.3">
      <c r="A309">
        <v>30</v>
      </c>
      <c r="B309" t="s">
        <v>11</v>
      </c>
      <c r="C309">
        <v>33.33</v>
      </c>
      <c r="D309">
        <v>1</v>
      </c>
      <c r="E309" t="s">
        <v>19</v>
      </c>
      <c r="F309" t="s">
        <v>7</v>
      </c>
      <c r="G309">
        <v>4151.0286999999998</v>
      </c>
      <c r="H309">
        <v>118.5</v>
      </c>
      <c r="I309" t="s">
        <v>2</v>
      </c>
      <c r="J309" t="b">
        <v>0</v>
      </c>
      <c r="K309" t="s">
        <v>16</v>
      </c>
      <c r="L309">
        <v>117215.97</v>
      </c>
      <c r="M309" t="str" cm="1">
        <f t="array" ref="M309">_xlfn.IFS(A309&lt;30,"Young",A309&lt;=50,"Adult",A309&gt;50,"Senior")</f>
        <v>Adult</v>
      </c>
    </row>
    <row r="310" spans="1:13" x14ac:dyDescent="0.3">
      <c r="A310">
        <v>58</v>
      </c>
      <c r="B310" t="s">
        <v>12</v>
      </c>
      <c r="C310">
        <v>34.865000000000002</v>
      </c>
      <c r="D310">
        <v>0</v>
      </c>
      <c r="E310" t="s">
        <v>19</v>
      </c>
      <c r="F310" t="s">
        <v>9</v>
      </c>
      <c r="G310">
        <v>11944.594349999999</v>
      </c>
      <c r="H310">
        <v>128.69999999999999</v>
      </c>
      <c r="I310" t="s">
        <v>2</v>
      </c>
      <c r="J310" t="b">
        <v>1</v>
      </c>
      <c r="K310" t="s">
        <v>14</v>
      </c>
      <c r="L310">
        <v>138781.12</v>
      </c>
      <c r="M310" t="str" cm="1">
        <f t="array" ref="M310">_xlfn.IFS(A310&lt;30,"Young",A310&lt;=50,"Adult",A310&gt;50,"Senior")</f>
        <v>Senior</v>
      </c>
    </row>
    <row r="311" spans="1:13" x14ac:dyDescent="0.3">
      <c r="A311">
        <v>41</v>
      </c>
      <c r="B311" t="s">
        <v>11</v>
      </c>
      <c r="C311">
        <v>33.06</v>
      </c>
      <c r="D311">
        <v>2</v>
      </c>
      <c r="E311" t="s">
        <v>19</v>
      </c>
      <c r="F311" t="s">
        <v>8</v>
      </c>
      <c r="G311">
        <v>7749.1563999999998</v>
      </c>
      <c r="H311">
        <v>132.4</v>
      </c>
      <c r="I311" t="s">
        <v>2</v>
      </c>
      <c r="J311" t="b">
        <v>0</v>
      </c>
      <c r="K311" t="s">
        <v>15</v>
      </c>
      <c r="L311">
        <v>162654.70000000001</v>
      </c>
      <c r="M311" t="str" cm="1">
        <f t="array" ref="M311">_xlfn.IFS(A311&lt;30,"Young",A311&lt;=50,"Adult",A311&gt;50,"Senior")</f>
        <v>Adult</v>
      </c>
    </row>
    <row r="312" spans="1:13" x14ac:dyDescent="0.3">
      <c r="A312">
        <v>50</v>
      </c>
      <c r="B312" t="s">
        <v>12</v>
      </c>
      <c r="C312">
        <v>26.6</v>
      </c>
      <c r="D312">
        <v>0</v>
      </c>
      <c r="E312" t="s">
        <v>19</v>
      </c>
      <c r="F312" t="s">
        <v>6</v>
      </c>
      <c r="G312">
        <v>8444.4740000000002</v>
      </c>
      <c r="H312">
        <v>139.19999999999999</v>
      </c>
      <c r="I312" t="s">
        <v>0</v>
      </c>
      <c r="J312" t="b">
        <v>0</v>
      </c>
      <c r="K312" t="s">
        <v>16</v>
      </c>
      <c r="L312">
        <v>183531.18</v>
      </c>
      <c r="M312" t="str" cm="1">
        <f t="array" ref="M312">_xlfn.IFS(A312&lt;30,"Young",A312&lt;=50,"Adult",A312&gt;50,"Senior")</f>
        <v>Adult</v>
      </c>
    </row>
    <row r="313" spans="1:13" x14ac:dyDescent="0.3">
      <c r="A313">
        <v>19</v>
      </c>
      <c r="B313" t="s">
        <v>11</v>
      </c>
      <c r="C313">
        <v>24.7</v>
      </c>
      <c r="D313">
        <v>0</v>
      </c>
      <c r="E313" t="s">
        <v>19</v>
      </c>
      <c r="F313" t="s">
        <v>6</v>
      </c>
      <c r="G313">
        <v>1737.376</v>
      </c>
      <c r="H313">
        <v>130.6</v>
      </c>
      <c r="I313" t="s">
        <v>1</v>
      </c>
      <c r="J313" t="b">
        <v>1</v>
      </c>
      <c r="K313" t="s">
        <v>14</v>
      </c>
      <c r="L313">
        <v>122217.04</v>
      </c>
      <c r="M313" t="str" cm="1">
        <f t="array" ref="M313">_xlfn.IFS(A313&lt;30,"Young",A313&lt;=50,"Adult",A313&gt;50,"Senior")</f>
        <v>Young</v>
      </c>
    </row>
    <row r="314" spans="1:13" x14ac:dyDescent="0.3">
      <c r="A314">
        <v>43</v>
      </c>
      <c r="B314" t="s">
        <v>12</v>
      </c>
      <c r="C314">
        <v>35.97</v>
      </c>
      <c r="D314">
        <v>3</v>
      </c>
      <c r="E314" t="s">
        <v>18</v>
      </c>
      <c r="F314" t="s">
        <v>7</v>
      </c>
      <c r="G314">
        <v>42124.515299999999</v>
      </c>
      <c r="H314">
        <v>114.4</v>
      </c>
      <c r="I314" t="s">
        <v>0</v>
      </c>
      <c r="J314" t="b">
        <v>0</v>
      </c>
      <c r="K314" t="s">
        <v>15</v>
      </c>
      <c r="L314">
        <v>75623.08</v>
      </c>
      <c r="M314" t="str" cm="1">
        <f t="array" ref="M314">_xlfn.IFS(A314&lt;30,"Young",A314&lt;=50,"Adult",A314&gt;50,"Senior")</f>
        <v>Adult</v>
      </c>
    </row>
    <row r="315" spans="1:13" x14ac:dyDescent="0.3">
      <c r="A315">
        <v>49</v>
      </c>
      <c r="B315" t="s">
        <v>12</v>
      </c>
      <c r="C315">
        <v>35.86</v>
      </c>
      <c r="D315">
        <v>0</v>
      </c>
      <c r="E315" t="s">
        <v>19</v>
      </c>
      <c r="F315" t="s">
        <v>7</v>
      </c>
      <c r="G315">
        <v>8124.4084000000003</v>
      </c>
      <c r="H315">
        <v>124.6</v>
      </c>
      <c r="I315" t="s">
        <v>1</v>
      </c>
      <c r="J315" t="b">
        <v>0</v>
      </c>
      <c r="K315" t="s">
        <v>16</v>
      </c>
      <c r="L315">
        <v>141731.88</v>
      </c>
      <c r="M315" t="str" cm="1">
        <f t="array" ref="M315">_xlfn.IFS(A315&lt;30,"Young",A315&lt;=50,"Adult",A315&gt;50,"Senior")</f>
        <v>Adult</v>
      </c>
    </row>
    <row r="316" spans="1:13" x14ac:dyDescent="0.3">
      <c r="A316">
        <v>27</v>
      </c>
      <c r="B316" t="s">
        <v>11</v>
      </c>
      <c r="C316">
        <v>31.4</v>
      </c>
      <c r="D316">
        <v>0</v>
      </c>
      <c r="E316" t="s">
        <v>18</v>
      </c>
      <c r="F316" t="s">
        <v>6</v>
      </c>
      <c r="G316">
        <v>34838.873</v>
      </c>
      <c r="H316">
        <v>139.5</v>
      </c>
      <c r="I316" t="s">
        <v>3</v>
      </c>
      <c r="J316" t="b">
        <v>0</v>
      </c>
      <c r="K316" t="s">
        <v>14</v>
      </c>
      <c r="L316">
        <v>100383.19</v>
      </c>
      <c r="M316" t="str" cm="1">
        <f t="array" ref="M316">_xlfn.IFS(A316&lt;30,"Young",A316&lt;=50,"Adult",A316&gt;50,"Senior")</f>
        <v>Young</v>
      </c>
    </row>
    <row r="317" spans="1:13" x14ac:dyDescent="0.3">
      <c r="A317">
        <v>52</v>
      </c>
      <c r="B317" t="s">
        <v>12</v>
      </c>
      <c r="C317">
        <v>33.25</v>
      </c>
      <c r="D317">
        <v>0</v>
      </c>
      <c r="E317" t="s">
        <v>19</v>
      </c>
      <c r="F317" t="s">
        <v>9</v>
      </c>
      <c r="G317">
        <v>9722.7695000000003</v>
      </c>
      <c r="H317">
        <v>130.80000000000001</v>
      </c>
      <c r="I317" t="s">
        <v>3</v>
      </c>
      <c r="J317" t="b">
        <v>1</v>
      </c>
      <c r="K317" t="s">
        <v>15</v>
      </c>
      <c r="L317">
        <v>52737.96</v>
      </c>
      <c r="M317" t="str" cm="1">
        <f t="array" ref="M317">_xlfn.IFS(A317&lt;30,"Young",A317&lt;=50,"Adult",A317&gt;50,"Senior")</f>
        <v>Senior</v>
      </c>
    </row>
    <row r="318" spans="1:13" x14ac:dyDescent="0.3">
      <c r="A318">
        <v>50</v>
      </c>
      <c r="B318" t="s">
        <v>12</v>
      </c>
      <c r="C318">
        <v>32.204999999999998</v>
      </c>
      <c r="D318">
        <v>0</v>
      </c>
      <c r="E318" t="s">
        <v>19</v>
      </c>
      <c r="F318" t="s">
        <v>8</v>
      </c>
      <c r="G318">
        <v>8835.2649500000007</v>
      </c>
      <c r="H318">
        <v>136.1</v>
      </c>
      <c r="I318" t="s">
        <v>3</v>
      </c>
      <c r="J318" t="b">
        <v>0</v>
      </c>
      <c r="K318" t="s">
        <v>16</v>
      </c>
      <c r="L318">
        <v>137430.49</v>
      </c>
      <c r="M318" t="str" cm="1">
        <f t="array" ref="M318">_xlfn.IFS(A318&lt;30,"Young",A318&lt;=50,"Adult",A318&gt;50,"Senior")</f>
        <v>Adult</v>
      </c>
    </row>
    <row r="319" spans="1:13" x14ac:dyDescent="0.3">
      <c r="A319">
        <v>54</v>
      </c>
      <c r="B319" t="s">
        <v>12</v>
      </c>
      <c r="C319">
        <v>32.774999999999999</v>
      </c>
      <c r="D319">
        <v>0</v>
      </c>
      <c r="E319" t="s">
        <v>19</v>
      </c>
      <c r="F319" t="s">
        <v>9</v>
      </c>
      <c r="G319">
        <v>10435.06525</v>
      </c>
      <c r="H319">
        <v>110.3</v>
      </c>
      <c r="I319" t="s">
        <v>1</v>
      </c>
      <c r="J319" t="b">
        <v>1</v>
      </c>
      <c r="K319" t="s">
        <v>14</v>
      </c>
      <c r="L319">
        <v>147893.01</v>
      </c>
      <c r="M319" t="str" cm="1">
        <f t="array" ref="M319">_xlfn.IFS(A319&lt;30,"Young",A319&lt;=50,"Adult",A319&gt;50,"Senior")</f>
        <v>Senior</v>
      </c>
    </row>
    <row r="320" spans="1:13" x14ac:dyDescent="0.3">
      <c r="A320">
        <v>44</v>
      </c>
      <c r="B320" t="s">
        <v>11</v>
      </c>
      <c r="C320">
        <v>27.645</v>
      </c>
      <c r="D320">
        <v>0</v>
      </c>
      <c r="E320" t="s">
        <v>19</v>
      </c>
      <c r="F320" t="s">
        <v>8</v>
      </c>
      <c r="G320">
        <v>7421.1945500000002</v>
      </c>
      <c r="H320">
        <v>135.30000000000001</v>
      </c>
      <c r="I320" t="s">
        <v>1</v>
      </c>
      <c r="J320" t="b">
        <v>1</v>
      </c>
      <c r="K320" t="s">
        <v>15</v>
      </c>
      <c r="L320">
        <v>167209.06</v>
      </c>
      <c r="M320" t="str" cm="1">
        <f t="array" ref="M320">_xlfn.IFS(A320&lt;30,"Young",A320&lt;=50,"Adult",A320&gt;50,"Senior")</f>
        <v>Adult</v>
      </c>
    </row>
    <row r="321" spans="1:13" x14ac:dyDescent="0.3">
      <c r="A321">
        <v>32</v>
      </c>
      <c r="B321" t="s">
        <v>12</v>
      </c>
      <c r="C321">
        <v>37.335000000000001</v>
      </c>
      <c r="D321">
        <v>1</v>
      </c>
      <c r="E321" t="s">
        <v>19</v>
      </c>
      <c r="F321" t="s">
        <v>9</v>
      </c>
      <c r="G321">
        <v>4667.6076499999999</v>
      </c>
      <c r="H321">
        <v>111.1</v>
      </c>
      <c r="I321" t="s">
        <v>1</v>
      </c>
      <c r="J321" t="b">
        <v>0</v>
      </c>
      <c r="K321" t="s">
        <v>15</v>
      </c>
      <c r="L321">
        <v>113999.9</v>
      </c>
      <c r="M321" t="str" cm="1">
        <f t="array" ref="M321">_xlfn.IFS(A321&lt;30,"Young",A321&lt;=50,"Adult",A321&gt;50,"Senior")</f>
        <v>Adult</v>
      </c>
    </row>
    <row r="322" spans="1:13" x14ac:dyDescent="0.3">
      <c r="A322">
        <v>34</v>
      </c>
      <c r="B322" t="s">
        <v>12</v>
      </c>
      <c r="C322">
        <v>25.27</v>
      </c>
      <c r="D322">
        <v>1</v>
      </c>
      <c r="E322" t="s">
        <v>19</v>
      </c>
      <c r="F322" t="s">
        <v>8</v>
      </c>
      <c r="G322">
        <v>4894.7533000000003</v>
      </c>
      <c r="H322">
        <v>131.5</v>
      </c>
      <c r="I322" t="s">
        <v>1</v>
      </c>
      <c r="J322" t="b">
        <v>1</v>
      </c>
      <c r="K322" t="s">
        <v>16</v>
      </c>
      <c r="L322">
        <v>71094.92</v>
      </c>
      <c r="M322" t="str" cm="1">
        <f t="array" ref="M322">_xlfn.IFS(A322&lt;30,"Young",A322&lt;=50,"Adult",A322&gt;50,"Senior")</f>
        <v>Adult</v>
      </c>
    </row>
    <row r="323" spans="1:13" x14ac:dyDescent="0.3">
      <c r="A323">
        <v>26</v>
      </c>
      <c r="B323" t="s">
        <v>11</v>
      </c>
      <c r="C323">
        <v>29.64</v>
      </c>
      <c r="D323">
        <v>4</v>
      </c>
      <c r="E323" t="s">
        <v>19</v>
      </c>
      <c r="F323" t="s">
        <v>9</v>
      </c>
      <c r="G323">
        <v>24671.663339999999</v>
      </c>
      <c r="H323">
        <v>138.30000000000001</v>
      </c>
      <c r="I323" t="s">
        <v>1</v>
      </c>
      <c r="J323" t="b">
        <v>1</v>
      </c>
      <c r="K323" t="s">
        <v>16</v>
      </c>
      <c r="L323">
        <v>142806.37</v>
      </c>
      <c r="M323" t="str" cm="1">
        <f t="array" ref="M323">_xlfn.IFS(A323&lt;30,"Young",A323&lt;=50,"Adult",A323&gt;50,"Senior")</f>
        <v>Young</v>
      </c>
    </row>
    <row r="324" spans="1:13" x14ac:dyDescent="0.3">
      <c r="A324">
        <v>34</v>
      </c>
      <c r="B324" t="s">
        <v>12</v>
      </c>
      <c r="C324">
        <v>30.8</v>
      </c>
      <c r="D324">
        <v>0</v>
      </c>
      <c r="E324" t="s">
        <v>18</v>
      </c>
      <c r="F324" t="s">
        <v>6</v>
      </c>
      <c r="G324">
        <v>35491.64</v>
      </c>
      <c r="H324">
        <v>118.5</v>
      </c>
      <c r="I324" t="s">
        <v>1</v>
      </c>
      <c r="J324" t="b">
        <v>1</v>
      </c>
      <c r="K324" t="s">
        <v>14</v>
      </c>
      <c r="L324">
        <v>180991.88</v>
      </c>
      <c r="M324" t="str" cm="1">
        <f t="array" ref="M324">_xlfn.IFS(A324&lt;30,"Young",A324&lt;=50,"Adult",A324&gt;50,"Senior")</f>
        <v>Adult</v>
      </c>
    </row>
    <row r="325" spans="1:13" x14ac:dyDescent="0.3">
      <c r="A325">
        <v>57</v>
      </c>
      <c r="B325" t="s">
        <v>12</v>
      </c>
      <c r="C325">
        <v>40.945</v>
      </c>
      <c r="D325">
        <v>0</v>
      </c>
      <c r="E325" t="s">
        <v>19</v>
      </c>
      <c r="F325" t="s">
        <v>9</v>
      </c>
      <c r="G325">
        <v>11566.30055</v>
      </c>
      <c r="H325">
        <v>119.2</v>
      </c>
      <c r="I325" t="s">
        <v>2</v>
      </c>
      <c r="J325" t="b">
        <v>1</v>
      </c>
      <c r="K325" t="s">
        <v>16</v>
      </c>
      <c r="L325">
        <v>56004.24</v>
      </c>
      <c r="M325" t="str" cm="1">
        <f t="array" ref="M325">_xlfn.IFS(A325&lt;30,"Young",A325&lt;=50,"Adult",A325&gt;50,"Senior")</f>
        <v>Senior</v>
      </c>
    </row>
    <row r="326" spans="1:13" x14ac:dyDescent="0.3">
      <c r="A326">
        <v>29</v>
      </c>
      <c r="B326" t="s">
        <v>12</v>
      </c>
      <c r="C326">
        <v>27.2</v>
      </c>
      <c r="D326">
        <v>0</v>
      </c>
      <c r="E326" t="s">
        <v>19</v>
      </c>
      <c r="F326" t="s">
        <v>6</v>
      </c>
      <c r="G326">
        <v>2866.0909999999999</v>
      </c>
      <c r="H326">
        <v>128.69999999999999</v>
      </c>
      <c r="I326" t="s">
        <v>0</v>
      </c>
      <c r="J326" t="b">
        <v>1</v>
      </c>
      <c r="K326" t="s">
        <v>14</v>
      </c>
      <c r="L326">
        <v>177437.83</v>
      </c>
      <c r="M326" t="str" cm="1">
        <f t="array" ref="M326">_xlfn.IFS(A326&lt;30,"Young",A326&lt;=50,"Adult",A326&gt;50,"Senior")</f>
        <v>Young</v>
      </c>
    </row>
    <row r="327" spans="1:13" x14ac:dyDescent="0.3">
      <c r="A327">
        <v>40</v>
      </c>
      <c r="B327" t="s">
        <v>12</v>
      </c>
      <c r="C327">
        <v>34.104999999999997</v>
      </c>
      <c r="D327">
        <v>1</v>
      </c>
      <c r="E327" t="s">
        <v>19</v>
      </c>
      <c r="F327" t="s">
        <v>9</v>
      </c>
      <c r="G327">
        <v>6600.2059499999996</v>
      </c>
      <c r="H327">
        <v>135.69999999999999</v>
      </c>
      <c r="I327" t="s">
        <v>0</v>
      </c>
      <c r="J327" t="b">
        <v>1</v>
      </c>
      <c r="K327" t="s">
        <v>16</v>
      </c>
      <c r="L327">
        <v>133307.46</v>
      </c>
      <c r="M327" t="str" cm="1">
        <f t="array" ref="M327">_xlfn.IFS(A327&lt;30,"Young",A327&lt;=50,"Adult",A327&gt;50,"Senior")</f>
        <v>Adult</v>
      </c>
    </row>
    <row r="328" spans="1:13" x14ac:dyDescent="0.3">
      <c r="A328">
        <v>27</v>
      </c>
      <c r="B328" t="s">
        <v>11</v>
      </c>
      <c r="C328">
        <v>23.21</v>
      </c>
      <c r="D328">
        <v>1</v>
      </c>
      <c r="E328" t="s">
        <v>19</v>
      </c>
      <c r="F328" t="s">
        <v>7</v>
      </c>
      <c r="G328">
        <v>3561.8888999999999</v>
      </c>
      <c r="H328">
        <v>116.8</v>
      </c>
      <c r="I328" t="s">
        <v>1</v>
      </c>
      <c r="J328" t="b">
        <v>1</v>
      </c>
      <c r="K328" t="s">
        <v>16</v>
      </c>
      <c r="L328">
        <v>91810.23</v>
      </c>
      <c r="M328" t="str" cm="1">
        <f t="array" ref="M328">_xlfn.IFS(A328&lt;30,"Young",A328&lt;=50,"Adult",A328&gt;50,"Senior")</f>
        <v>Young</v>
      </c>
    </row>
    <row r="329" spans="1:13" x14ac:dyDescent="0.3">
      <c r="A329">
        <v>45</v>
      </c>
      <c r="B329" t="s">
        <v>12</v>
      </c>
      <c r="C329">
        <v>36.479999999999997</v>
      </c>
      <c r="D329">
        <v>2</v>
      </c>
      <c r="E329" t="s">
        <v>18</v>
      </c>
      <c r="F329" t="s">
        <v>8</v>
      </c>
      <c r="G329">
        <v>42760.502200000003</v>
      </c>
      <c r="H329">
        <v>122.9</v>
      </c>
      <c r="I329" t="s">
        <v>0</v>
      </c>
      <c r="J329" t="b">
        <v>0</v>
      </c>
      <c r="K329" t="s">
        <v>14</v>
      </c>
      <c r="L329">
        <v>143466.38</v>
      </c>
      <c r="M329" t="str" cm="1">
        <f t="array" ref="M329">_xlfn.IFS(A329&lt;30,"Young",A329&lt;=50,"Adult",A329&gt;50,"Senior")</f>
        <v>Adult</v>
      </c>
    </row>
    <row r="330" spans="1:13" x14ac:dyDescent="0.3">
      <c r="A330">
        <v>64</v>
      </c>
      <c r="B330" t="s">
        <v>11</v>
      </c>
      <c r="C330">
        <v>33.799999999999997</v>
      </c>
      <c r="D330">
        <v>1</v>
      </c>
      <c r="E330" t="s">
        <v>18</v>
      </c>
      <c r="F330" t="s">
        <v>6</v>
      </c>
      <c r="G330">
        <v>47928.03</v>
      </c>
      <c r="H330">
        <v>117.5</v>
      </c>
      <c r="I330" t="s">
        <v>0</v>
      </c>
      <c r="J330" t="b">
        <v>1</v>
      </c>
      <c r="K330" t="s">
        <v>14</v>
      </c>
      <c r="L330">
        <v>160049.93</v>
      </c>
      <c r="M330" t="str" cm="1">
        <f t="array" ref="M330">_xlfn.IFS(A330&lt;30,"Young",A330&lt;=50,"Adult",A330&gt;50,"Senior")</f>
        <v>Senior</v>
      </c>
    </row>
    <row r="331" spans="1:13" x14ac:dyDescent="0.3">
      <c r="A331">
        <v>52</v>
      </c>
      <c r="B331" t="s">
        <v>12</v>
      </c>
      <c r="C331">
        <v>36.700000000000003</v>
      </c>
      <c r="D331">
        <v>0</v>
      </c>
      <c r="E331" t="s">
        <v>19</v>
      </c>
      <c r="F331" t="s">
        <v>6</v>
      </c>
      <c r="G331">
        <v>9144.5650000000005</v>
      </c>
      <c r="H331">
        <v>125.1</v>
      </c>
      <c r="I331" t="s">
        <v>3</v>
      </c>
      <c r="J331" t="b">
        <v>0</v>
      </c>
      <c r="K331" t="s">
        <v>14</v>
      </c>
      <c r="L331">
        <v>73847.16</v>
      </c>
      <c r="M331" t="str" cm="1">
        <f t="array" ref="M331">_xlfn.IFS(A331&lt;30,"Young",A331&lt;=50,"Adult",A331&gt;50,"Senior")</f>
        <v>Senior</v>
      </c>
    </row>
    <row r="332" spans="1:13" x14ac:dyDescent="0.3">
      <c r="A332">
        <v>61</v>
      </c>
      <c r="B332" t="s">
        <v>11</v>
      </c>
      <c r="C332">
        <v>36.384999999999998</v>
      </c>
      <c r="D332">
        <v>1</v>
      </c>
      <c r="E332" t="s">
        <v>18</v>
      </c>
      <c r="F332" t="s">
        <v>9</v>
      </c>
      <c r="G332">
        <v>48517.563150000002</v>
      </c>
      <c r="H332">
        <v>113.6</v>
      </c>
      <c r="I332" t="s">
        <v>1</v>
      </c>
      <c r="J332" t="b">
        <v>1</v>
      </c>
      <c r="K332" t="s">
        <v>16</v>
      </c>
      <c r="L332">
        <v>41152.74</v>
      </c>
      <c r="M332" t="str" cm="1">
        <f t="array" ref="M332">_xlfn.IFS(A332&lt;30,"Young",A332&lt;=50,"Adult",A332&gt;50,"Senior")</f>
        <v>Senior</v>
      </c>
    </row>
    <row r="333" spans="1:13" x14ac:dyDescent="0.3">
      <c r="A333">
        <v>52</v>
      </c>
      <c r="B333" t="s">
        <v>12</v>
      </c>
      <c r="C333">
        <v>27.36</v>
      </c>
      <c r="D333">
        <v>0</v>
      </c>
      <c r="E333" t="s">
        <v>18</v>
      </c>
      <c r="F333" t="s">
        <v>8</v>
      </c>
      <c r="G333">
        <v>24393.6224</v>
      </c>
      <c r="H333">
        <v>128.6</v>
      </c>
      <c r="I333" t="s">
        <v>2</v>
      </c>
      <c r="J333" t="b">
        <v>1</v>
      </c>
      <c r="K333" t="s">
        <v>15</v>
      </c>
      <c r="L333">
        <v>126965.74</v>
      </c>
      <c r="M333" t="str" cm="1">
        <f t="array" ref="M333">_xlfn.IFS(A333&lt;30,"Young",A333&lt;=50,"Adult",A333&gt;50,"Senior")</f>
        <v>Senior</v>
      </c>
    </row>
    <row r="334" spans="1:13" x14ac:dyDescent="0.3">
      <c r="A334">
        <v>61</v>
      </c>
      <c r="B334" t="s">
        <v>11</v>
      </c>
      <c r="C334">
        <v>31.16</v>
      </c>
      <c r="D334">
        <v>0</v>
      </c>
      <c r="E334" t="s">
        <v>19</v>
      </c>
      <c r="F334" t="s">
        <v>8</v>
      </c>
      <c r="G334">
        <v>13429.035400000001</v>
      </c>
      <c r="H334">
        <v>118.7</v>
      </c>
      <c r="I334" t="s">
        <v>2</v>
      </c>
      <c r="J334" t="b">
        <v>1</v>
      </c>
      <c r="K334" t="s">
        <v>15</v>
      </c>
      <c r="L334">
        <v>186409.96</v>
      </c>
      <c r="M334" t="str" cm="1">
        <f t="array" ref="M334">_xlfn.IFS(A334&lt;30,"Young",A334&lt;=50,"Adult",A334&gt;50,"Senior")</f>
        <v>Senior</v>
      </c>
    </row>
    <row r="335" spans="1:13" x14ac:dyDescent="0.3">
      <c r="A335">
        <v>56</v>
      </c>
      <c r="B335" t="s">
        <v>11</v>
      </c>
      <c r="C335">
        <v>28.785</v>
      </c>
      <c r="D335">
        <v>0</v>
      </c>
      <c r="E335" t="s">
        <v>19</v>
      </c>
      <c r="F335" t="s">
        <v>9</v>
      </c>
      <c r="G335">
        <v>11658.379150000001</v>
      </c>
      <c r="H335">
        <v>130.5</v>
      </c>
      <c r="I335" t="s">
        <v>0</v>
      </c>
      <c r="J335" t="b">
        <v>0</v>
      </c>
      <c r="K335" t="s">
        <v>15</v>
      </c>
      <c r="L335">
        <v>164487.21</v>
      </c>
      <c r="M335" t="str" cm="1">
        <f t="array" ref="M335">_xlfn.IFS(A335&lt;30,"Young",A335&lt;=50,"Adult",A335&gt;50,"Senior")</f>
        <v>Senior</v>
      </c>
    </row>
    <row r="336" spans="1:13" x14ac:dyDescent="0.3">
      <c r="A336">
        <v>43</v>
      </c>
      <c r="B336" t="s">
        <v>11</v>
      </c>
      <c r="C336">
        <v>35.72</v>
      </c>
      <c r="D336">
        <v>2</v>
      </c>
      <c r="E336" t="s">
        <v>19</v>
      </c>
      <c r="F336" t="s">
        <v>9</v>
      </c>
      <c r="G336">
        <v>19144.576519999999</v>
      </c>
      <c r="H336">
        <v>135</v>
      </c>
      <c r="I336" t="s">
        <v>0</v>
      </c>
      <c r="J336" t="b">
        <v>0</v>
      </c>
      <c r="K336" t="s">
        <v>14</v>
      </c>
      <c r="L336">
        <v>185847.25</v>
      </c>
      <c r="M336" t="str" cm="1">
        <f t="array" ref="M336">_xlfn.IFS(A336&lt;30,"Young",A336&lt;=50,"Adult",A336&gt;50,"Senior")</f>
        <v>Adult</v>
      </c>
    </row>
    <row r="337" spans="1:13" x14ac:dyDescent="0.3">
      <c r="A337">
        <v>64</v>
      </c>
      <c r="B337" t="s">
        <v>12</v>
      </c>
      <c r="C337">
        <v>34.5</v>
      </c>
      <c r="D337">
        <v>0</v>
      </c>
      <c r="E337" t="s">
        <v>19</v>
      </c>
      <c r="F337" t="s">
        <v>6</v>
      </c>
      <c r="G337">
        <v>13822.803</v>
      </c>
      <c r="H337">
        <v>129.4</v>
      </c>
      <c r="I337" t="s">
        <v>2</v>
      </c>
      <c r="J337" t="b">
        <v>1</v>
      </c>
      <c r="K337" t="s">
        <v>15</v>
      </c>
      <c r="L337">
        <v>51450.5</v>
      </c>
      <c r="M337" t="str" cm="1">
        <f t="array" ref="M337">_xlfn.IFS(A337&lt;30,"Young",A337&lt;=50,"Adult",A337&gt;50,"Senior")</f>
        <v>Senior</v>
      </c>
    </row>
    <row r="338" spans="1:13" x14ac:dyDescent="0.3">
      <c r="A338">
        <v>60</v>
      </c>
      <c r="B338" t="s">
        <v>12</v>
      </c>
      <c r="C338">
        <v>25.74</v>
      </c>
      <c r="D338">
        <v>0</v>
      </c>
      <c r="E338" t="s">
        <v>19</v>
      </c>
      <c r="F338" t="s">
        <v>7</v>
      </c>
      <c r="G338">
        <v>12142.578600000001</v>
      </c>
      <c r="H338">
        <v>128.69999999999999</v>
      </c>
      <c r="I338" t="s">
        <v>0</v>
      </c>
      <c r="J338" t="b">
        <v>1</v>
      </c>
      <c r="K338" t="s">
        <v>14</v>
      </c>
      <c r="L338">
        <v>67995.06</v>
      </c>
      <c r="M338" t="str" cm="1">
        <f t="array" ref="M338">_xlfn.IFS(A338&lt;30,"Young",A338&lt;=50,"Adult",A338&gt;50,"Senior")</f>
        <v>Senior</v>
      </c>
    </row>
    <row r="339" spans="1:13" x14ac:dyDescent="0.3">
      <c r="A339">
        <v>62</v>
      </c>
      <c r="B339" t="s">
        <v>12</v>
      </c>
      <c r="C339">
        <v>27.55</v>
      </c>
      <c r="D339">
        <v>1</v>
      </c>
      <c r="E339" t="s">
        <v>19</v>
      </c>
      <c r="F339" t="s">
        <v>8</v>
      </c>
      <c r="G339">
        <v>13937.666499999999</v>
      </c>
      <c r="H339">
        <v>122.6</v>
      </c>
      <c r="I339" t="s">
        <v>1</v>
      </c>
      <c r="J339" t="b">
        <v>1</v>
      </c>
      <c r="K339" t="s">
        <v>14</v>
      </c>
      <c r="L339">
        <v>52462.03</v>
      </c>
      <c r="M339" t="str" cm="1">
        <f t="array" ref="M339">_xlfn.IFS(A339&lt;30,"Young",A339&lt;=50,"Adult",A339&gt;50,"Senior")</f>
        <v>Senior</v>
      </c>
    </row>
    <row r="340" spans="1:13" x14ac:dyDescent="0.3">
      <c r="A340">
        <v>50</v>
      </c>
      <c r="B340" t="s">
        <v>12</v>
      </c>
      <c r="C340">
        <v>32.299999999999997</v>
      </c>
      <c r="D340">
        <v>1</v>
      </c>
      <c r="E340" t="s">
        <v>18</v>
      </c>
      <c r="F340" t="s">
        <v>9</v>
      </c>
      <c r="G340">
        <v>41919.097000000002</v>
      </c>
      <c r="H340">
        <v>137.1</v>
      </c>
      <c r="I340" t="s">
        <v>3</v>
      </c>
      <c r="J340" t="b">
        <v>0</v>
      </c>
      <c r="K340" t="s">
        <v>15</v>
      </c>
      <c r="L340">
        <v>34089.75</v>
      </c>
      <c r="M340" t="str" cm="1">
        <f t="array" ref="M340">_xlfn.IFS(A340&lt;30,"Young",A340&lt;=50,"Adult",A340&gt;50,"Senior")</f>
        <v>Adult</v>
      </c>
    </row>
    <row r="341" spans="1:13" x14ac:dyDescent="0.3">
      <c r="A341">
        <v>46</v>
      </c>
      <c r="B341" t="s">
        <v>11</v>
      </c>
      <c r="C341">
        <v>27.72</v>
      </c>
      <c r="D341">
        <v>1</v>
      </c>
      <c r="E341" t="s">
        <v>19</v>
      </c>
      <c r="F341" t="s">
        <v>7</v>
      </c>
      <c r="G341">
        <v>8232.6388000000006</v>
      </c>
      <c r="H341">
        <v>119.8</v>
      </c>
      <c r="I341" t="s">
        <v>2</v>
      </c>
      <c r="J341" t="b">
        <v>1</v>
      </c>
      <c r="K341" t="s">
        <v>16</v>
      </c>
      <c r="L341">
        <v>137025.29999999999</v>
      </c>
      <c r="M341" t="str" cm="1">
        <f t="array" ref="M341">_xlfn.IFS(A341&lt;30,"Young",A341&lt;=50,"Adult",A341&gt;50,"Senior")</f>
        <v>Adult</v>
      </c>
    </row>
    <row r="342" spans="1:13" x14ac:dyDescent="0.3">
      <c r="A342">
        <v>24</v>
      </c>
      <c r="B342" t="s">
        <v>11</v>
      </c>
      <c r="C342">
        <v>27.6</v>
      </c>
      <c r="D342">
        <v>0</v>
      </c>
      <c r="E342" t="s">
        <v>19</v>
      </c>
      <c r="F342" t="s">
        <v>6</v>
      </c>
      <c r="G342">
        <v>18955.220170000001</v>
      </c>
      <c r="H342">
        <v>126.3</v>
      </c>
      <c r="I342" t="s">
        <v>2</v>
      </c>
      <c r="J342" t="b">
        <v>1</v>
      </c>
      <c r="K342" t="s">
        <v>14</v>
      </c>
      <c r="L342">
        <v>172199.78</v>
      </c>
      <c r="M342" t="str" cm="1">
        <f t="array" ref="M342">_xlfn.IFS(A342&lt;30,"Young",A342&lt;=50,"Adult",A342&gt;50,"Senior")</f>
        <v>Young</v>
      </c>
    </row>
    <row r="343" spans="1:13" x14ac:dyDescent="0.3">
      <c r="A343">
        <v>62</v>
      </c>
      <c r="B343" t="s">
        <v>12</v>
      </c>
      <c r="C343">
        <v>30.02</v>
      </c>
      <c r="D343">
        <v>0</v>
      </c>
      <c r="E343" t="s">
        <v>19</v>
      </c>
      <c r="F343" t="s">
        <v>8</v>
      </c>
      <c r="G343">
        <v>13352.0998</v>
      </c>
      <c r="H343">
        <v>115.8</v>
      </c>
      <c r="I343" t="s">
        <v>1</v>
      </c>
      <c r="J343" t="b">
        <v>1</v>
      </c>
      <c r="K343" t="s">
        <v>14</v>
      </c>
      <c r="L343">
        <v>72588.02</v>
      </c>
      <c r="M343" t="str" cm="1">
        <f t="array" ref="M343">_xlfn.IFS(A343&lt;30,"Young",A343&lt;=50,"Adult",A343&gt;50,"Senior")</f>
        <v>Senior</v>
      </c>
    </row>
    <row r="344" spans="1:13" x14ac:dyDescent="0.3">
      <c r="A344">
        <v>60</v>
      </c>
      <c r="B344" t="s">
        <v>11</v>
      </c>
      <c r="C344">
        <v>27.55</v>
      </c>
      <c r="D344">
        <v>0</v>
      </c>
      <c r="E344" t="s">
        <v>19</v>
      </c>
      <c r="F344" t="s">
        <v>9</v>
      </c>
      <c r="G344">
        <v>13217.094499999999</v>
      </c>
      <c r="H344">
        <v>110.3</v>
      </c>
      <c r="I344" t="s">
        <v>1</v>
      </c>
      <c r="J344" t="b">
        <v>0</v>
      </c>
      <c r="K344" t="s">
        <v>14</v>
      </c>
      <c r="L344">
        <v>166889.03</v>
      </c>
      <c r="M344" t="str" cm="1">
        <f t="array" ref="M344">_xlfn.IFS(A344&lt;30,"Young",A344&lt;=50,"Adult",A344&gt;50,"Senior")</f>
        <v>Senior</v>
      </c>
    </row>
    <row r="345" spans="1:13" x14ac:dyDescent="0.3">
      <c r="A345">
        <v>63</v>
      </c>
      <c r="B345" t="s">
        <v>12</v>
      </c>
      <c r="C345">
        <v>36.765000000000001</v>
      </c>
      <c r="D345">
        <v>0</v>
      </c>
      <c r="E345" t="s">
        <v>19</v>
      </c>
      <c r="F345" t="s">
        <v>9</v>
      </c>
      <c r="G345">
        <v>13981.850350000001</v>
      </c>
      <c r="H345">
        <v>138.4</v>
      </c>
      <c r="I345" t="s">
        <v>1</v>
      </c>
      <c r="J345" t="b">
        <v>1</v>
      </c>
      <c r="K345" t="s">
        <v>14</v>
      </c>
      <c r="L345">
        <v>181326.29</v>
      </c>
      <c r="M345" t="str" cm="1">
        <f t="array" ref="M345">_xlfn.IFS(A345&lt;30,"Young",A345&lt;=50,"Adult",A345&gt;50,"Senior")</f>
        <v>Senior</v>
      </c>
    </row>
    <row r="346" spans="1:13" x14ac:dyDescent="0.3">
      <c r="A346">
        <v>49</v>
      </c>
      <c r="B346" t="s">
        <v>11</v>
      </c>
      <c r="C346">
        <v>41.47</v>
      </c>
      <c r="D346">
        <v>4</v>
      </c>
      <c r="E346" t="s">
        <v>19</v>
      </c>
      <c r="F346" t="s">
        <v>7</v>
      </c>
      <c r="G346">
        <v>10977.2063</v>
      </c>
      <c r="H346">
        <v>127</v>
      </c>
      <c r="I346" t="s">
        <v>3</v>
      </c>
      <c r="J346" t="b">
        <v>1</v>
      </c>
      <c r="K346" t="s">
        <v>14</v>
      </c>
      <c r="L346">
        <v>85187.67</v>
      </c>
      <c r="M346" t="str" cm="1">
        <f t="array" ref="M346">_xlfn.IFS(A346&lt;30,"Young",A346&lt;=50,"Adult",A346&gt;50,"Senior")</f>
        <v>Adult</v>
      </c>
    </row>
    <row r="347" spans="1:13" x14ac:dyDescent="0.3">
      <c r="A347">
        <v>34</v>
      </c>
      <c r="B347" t="s">
        <v>11</v>
      </c>
      <c r="C347">
        <v>29.26</v>
      </c>
      <c r="D347">
        <v>3</v>
      </c>
      <c r="E347" t="s">
        <v>19</v>
      </c>
      <c r="F347" t="s">
        <v>7</v>
      </c>
      <c r="G347">
        <v>6184.2993999999999</v>
      </c>
      <c r="H347">
        <v>119.2</v>
      </c>
      <c r="I347" t="s">
        <v>2</v>
      </c>
      <c r="J347" t="b">
        <v>0</v>
      </c>
      <c r="K347" t="s">
        <v>15</v>
      </c>
      <c r="L347">
        <v>180182.58</v>
      </c>
      <c r="M347" t="str" cm="1">
        <f t="array" ref="M347">_xlfn.IFS(A347&lt;30,"Young",A347&lt;=50,"Adult",A347&gt;50,"Senior")</f>
        <v>Adult</v>
      </c>
    </row>
    <row r="348" spans="1:13" x14ac:dyDescent="0.3">
      <c r="A348">
        <v>33</v>
      </c>
      <c r="B348" t="s">
        <v>12</v>
      </c>
      <c r="C348">
        <v>35.75</v>
      </c>
      <c r="D348">
        <v>2</v>
      </c>
      <c r="E348" t="s">
        <v>19</v>
      </c>
      <c r="F348" t="s">
        <v>7</v>
      </c>
      <c r="G348">
        <v>4889.9994999999999</v>
      </c>
      <c r="H348">
        <v>139.19999999999999</v>
      </c>
      <c r="I348" t="s">
        <v>2</v>
      </c>
      <c r="J348" t="b">
        <v>1</v>
      </c>
      <c r="K348" t="s">
        <v>14</v>
      </c>
      <c r="L348">
        <v>179766.17</v>
      </c>
      <c r="M348" t="str" cm="1">
        <f t="array" ref="M348">_xlfn.IFS(A348&lt;30,"Young",A348&lt;=50,"Adult",A348&gt;50,"Senior")</f>
        <v>Adult</v>
      </c>
    </row>
    <row r="349" spans="1:13" x14ac:dyDescent="0.3">
      <c r="A349">
        <v>46</v>
      </c>
      <c r="B349" t="s">
        <v>12</v>
      </c>
      <c r="C349">
        <v>33.344999999999999</v>
      </c>
      <c r="D349">
        <v>1</v>
      </c>
      <c r="E349" t="s">
        <v>19</v>
      </c>
      <c r="F349" t="s">
        <v>9</v>
      </c>
      <c r="G349">
        <v>8334.4575499999992</v>
      </c>
      <c r="H349">
        <v>111.2</v>
      </c>
      <c r="I349" t="s">
        <v>1</v>
      </c>
      <c r="J349" t="b">
        <v>1</v>
      </c>
      <c r="K349" t="s">
        <v>15</v>
      </c>
      <c r="L349">
        <v>87223.6</v>
      </c>
      <c r="M349" t="str" cm="1">
        <f t="array" ref="M349">_xlfn.IFS(A349&lt;30,"Young",A349&lt;=50,"Adult",A349&gt;50,"Senior")</f>
        <v>Adult</v>
      </c>
    </row>
    <row r="350" spans="1:13" x14ac:dyDescent="0.3">
      <c r="A350">
        <v>36</v>
      </c>
      <c r="B350" t="s">
        <v>11</v>
      </c>
      <c r="C350">
        <v>29.92</v>
      </c>
      <c r="D350">
        <v>1</v>
      </c>
      <c r="E350" t="s">
        <v>19</v>
      </c>
      <c r="F350" t="s">
        <v>7</v>
      </c>
      <c r="G350">
        <v>5478.0367999999999</v>
      </c>
      <c r="H350">
        <v>125.2</v>
      </c>
      <c r="I350" t="s">
        <v>3</v>
      </c>
      <c r="J350" t="b">
        <v>0</v>
      </c>
      <c r="K350" t="s">
        <v>15</v>
      </c>
      <c r="L350">
        <v>178209.54</v>
      </c>
      <c r="M350" t="str" cm="1">
        <f t="array" ref="M350">_xlfn.IFS(A350&lt;30,"Young",A350&lt;=50,"Adult",A350&gt;50,"Senior")</f>
        <v>Adult</v>
      </c>
    </row>
    <row r="351" spans="1:13" x14ac:dyDescent="0.3">
      <c r="A351">
        <v>19</v>
      </c>
      <c r="B351" t="s">
        <v>12</v>
      </c>
      <c r="C351">
        <v>27.835000000000001</v>
      </c>
      <c r="D351">
        <v>0</v>
      </c>
      <c r="E351" t="s">
        <v>19</v>
      </c>
      <c r="F351" t="s">
        <v>8</v>
      </c>
      <c r="G351">
        <v>1635.7336499999999</v>
      </c>
      <c r="H351">
        <v>123.5</v>
      </c>
      <c r="I351" t="s">
        <v>2</v>
      </c>
      <c r="J351" t="b">
        <v>0</v>
      </c>
      <c r="K351" t="s">
        <v>15</v>
      </c>
      <c r="L351">
        <v>187379.64</v>
      </c>
      <c r="M351" t="str" cm="1">
        <f t="array" ref="M351">_xlfn.IFS(A351&lt;30,"Young",A351&lt;=50,"Adult",A351&gt;50,"Senior")</f>
        <v>Young</v>
      </c>
    </row>
    <row r="352" spans="1:13" x14ac:dyDescent="0.3">
      <c r="A352">
        <v>57</v>
      </c>
      <c r="B352" t="s">
        <v>11</v>
      </c>
      <c r="C352">
        <v>23.18</v>
      </c>
      <c r="D352">
        <v>0</v>
      </c>
      <c r="E352" t="s">
        <v>19</v>
      </c>
      <c r="F352" t="s">
        <v>8</v>
      </c>
      <c r="G352">
        <v>11830.6072</v>
      </c>
      <c r="H352">
        <v>122</v>
      </c>
      <c r="I352" t="s">
        <v>0</v>
      </c>
      <c r="J352" t="b">
        <v>0</v>
      </c>
      <c r="K352" t="s">
        <v>14</v>
      </c>
      <c r="L352">
        <v>65123.87</v>
      </c>
      <c r="M352" t="str" cm="1">
        <f t="array" ref="M352">_xlfn.IFS(A352&lt;30,"Young",A352&lt;=50,"Adult",A352&gt;50,"Senior")</f>
        <v>Senior</v>
      </c>
    </row>
    <row r="353" spans="1:13" x14ac:dyDescent="0.3">
      <c r="A353">
        <v>50</v>
      </c>
      <c r="B353" t="s">
        <v>11</v>
      </c>
      <c r="C353">
        <v>25.6</v>
      </c>
      <c r="D353">
        <v>0</v>
      </c>
      <c r="E353" t="s">
        <v>19</v>
      </c>
      <c r="F353" t="s">
        <v>6</v>
      </c>
      <c r="G353">
        <v>8932.0840000000007</v>
      </c>
      <c r="H353">
        <v>118.4</v>
      </c>
      <c r="I353" t="s">
        <v>0</v>
      </c>
      <c r="J353" t="b">
        <v>1</v>
      </c>
      <c r="K353" t="s">
        <v>16</v>
      </c>
      <c r="L353">
        <v>127478.64</v>
      </c>
      <c r="M353" t="str" cm="1">
        <f t="array" ref="M353">_xlfn.IFS(A353&lt;30,"Young",A353&lt;=50,"Adult",A353&gt;50,"Senior")</f>
        <v>Adult</v>
      </c>
    </row>
    <row r="354" spans="1:13" x14ac:dyDescent="0.3">
      <c r="A354">
        <v>30</v>
      </c>
      <c r="B354" t="s">
        <v>11</v>
      </c>
      <c r="C354">
        <v>27.7</v>
      </c>
      <c r="D354">
        <v>0</v>
      </c>
      <c r="E354" t="s">
        <v>19</v>
      </c>
      <c r="F354" t="s">
        <v>6</v>
      </c>
      <c r="G354">
        <v>3554.203</v>
      </c>
      <c r="H354">
        <v>131.30000000000001</v>
      </c>
      <c r="I354" t="s">
        <v>2</v>
      </c>
      <c r="J354" t="b">
        <v>0</v>
      </c>
      <c r="K354" t="s">
        <v>14</v>
      </c>
      <c r="L354">
        <v>177481.73</v>
      </c>
      <c r="M354" t="str" cm="1">
        <f t="array" ref="M354">_xlfn.IFS(A354&lt;30,"Young",A354&lt;=50,"Adult",A354&gt;50,"Senior")</f>
        <v>Adult</v>
      </c>
    </row>
    <row r="355" spans="1:13" x14ac:dyDescent="0.3">
      <c r="A355">
        <v>33</v>
      </c>
      <c r="B355" t="s">
        <v>12</v>
      </c>
      <c r="C355">
        <v>35.244999999999997</v>
      </c>
      <c r="D355">
        <v>0</v>
      </c>
      <c r="E355" t="s">
        <v>19</v>
      </c>
      <c r="F355" t="s">
        <v>9</v>
      </c>
      <c r="G355">
        <v>12404.8791</v>
      </c>
      <c r="H355">
        <v>129.4</v>
      </c>
      <c r="I355" t="s">
        <v>3</v>
      </c>
      <c r="J355" t="b">
        <v>1</v>
      </c>
      <c r="K355" t="s">
        <v>15</v>
      </c>
      <c r="L355">
        <v>87310.66</v>
      </c>
      <c r="M355" t="str" cm="1">
        <f t="array" ref="M355">_xlfn.IFS(A355&lt;30,"Young",A355&lt;=50,"Adult",A355&gt;50,"Senior")</f>
        <v>Adult</v>
      </c>
    </row>
    <row r="356" spans="1:13" x14ac:dyDescent="0.3">
      <c r="A356">
        <v>18</v>
      </c>
      <c r="B356" t="s">
        <v>11</v>
      </c>
      <c r="C356">
        <v>38.28</v>
      </c>
      <c r="D356">
        <v>0</v>
      </c>
      <c r="E356" t="s">
        <v>19</v>
      </c>
      <c r="F356" t="s">
        <v>7</v>
      </c>
      <c r="G356">
        <v>14133.03775</v>
      </c>
      <c r="H356">
        <v>121.9</v>
      </c>
      <c r="I356" t="s">
        <v>0</v>
      </c>
      <c r="J356" t="b">
        <v>1</v>
      </c>
      <c r="K356" t="s">
        <v>16</v>
      </c>
      <c r="L356">
        <v>173137.32</v>
      </c>
      <c r="M356" t="str" cm="1">
        <f t="array" ref="M356">_xlfn.IFS(A356&lt;30,"Young",A356&lt;=50,"Adult",A356&gt;50,"Senior")</f>
        <v>Young</v>
      </c>
    </row>
    <row r="357" spans="1:13" x14ac:dyDescent="0.3">
      <c r="A357">
        <v>46</v>
      </c>
      <c r="B357" t="s">
        <v>12</v>
      </c>
      <c r="C357">
        <v>27.6</v>
      </c>
      <c r="D357">
        <v>0</v>
      </c>
      <c r="E357" t="s">
        <v>19</v>
      </c>
      <c r="F357" t="s">
        <v>6</v>
      </c>
      <c r="G357">
        <v>24603.04837</v>
      </c>
      <c r="H357">
        <v>135.19999999999999</v>
      </c>
      <c r="I357" t="s">
        <v>0</v>
      </c>
      <c r="J357" t="b">
        <v>1</v>
      </c>
      <c r="K357" t="s">
        <v>15</v>
      </c>
      <c r="L357">
        <v>173836.3</v>
      </c>
      <c r="M357" t="str" cm="1">
        <f t="array" ref="M357">_xlfn.IFS(A357&lt;30,"Young",A357&lt;=50,"Adult",A357&gt;50,"Senior")</f>
        <v>Adult</v>
      </c>
    </row>
    <row r="358" spans="1:13" x14ac:dyDescent="0.3">
      <c r="A358">
        <v>46</v>
      </c>
      <c r="B358" t="s">
        <v>12</v>
      </c>
      <c r="C358">
        <v>43.89</v>
      </c>
      <c r="D358">
        <v>3</v>
      </c>
      <c r="E358" t="s">
        <v>19</v>
      </c>
      <c r="F358" t="s">
        <v>7</v>
      </c>
      <c r="G358">
        <v>8944.1151000000009</v>
      </c>
      <c r="H358">
        <v>117.7</v>
      </c>
      <c r="I358" t="s">
        <v>0</v>
      </c>
      <c r="J358" t="b">
        <v>1</v>
      </c>
      <c r="K358" t="s">
        <v>14</v>
      </c>
      <c r="L358">
        <v>190987.7</v>
      </c>
      <c r="M358" t="str" cm="1">
        <f t="array" ref="M358">_xlfn.IFS(A358&lt;30,"Young",A358&lt;=50,"Adult",A358&gt;50,"Senior")</f>
        <v>Adult</v>
      </c>
    </row>
    <row r="359" spans="1:13" x14ac:dyDescent="0.3">
      <c r="A359">
        <v>47</v>
      </c>
      <c r="B359" t="s">
        <v>12</v>
      </c>
      <c r="C359">
        <v>29.83</v>
      </c>
      <c r="D359">
        <v>3</v>
      </c>
      <c r="E359" t="s">
        <v>19</v>
      </c>
      <c r="F359" t="s">
        <v>8</v>
      </c>
      <c r="G359">
        <v>9620.3307000000004</v>
      </c>
      <c r="H359">
        <v>128.9</v>
      </c>
      <c r="I359" t="s">
        <v>0</v>
      </c>
      <c r="J359" t="b">
        <v>0</v>
      </c>
      <c r="K359" t="s">
        <v>16</v>
      </c>
      <c r="L359">
        <v>72635.16</v>
      </c>
      <c r="M359" t="str" cm="1">
        <f t="array" ref="M359">_xlfn.IFS(A359&lt;30,"Young",A359&lt;=50,"Adult",A359&gt;50,"Senior")</f>
        <v>Adult</v>
      </c>
    </row>
    <row r="360" spans="1:13" x14ac:dyDescent="0.3">
      <c r="A360">
        <v>23</v>
      </c>
      <c r="B360" t="s">
        <v>12</v>
      </c>
      <c r="C360">
        <v>41.91</v>
      </c>
      <c r="D360">
        <v>0</v>
      </c>
      <c r="E360" t="s">
        <v>19</v>
      </c>
      <c r="F360" t="s">
        <v>7</v>
      </c>
      <c r="G360">
        <v>1837.2819</v>
      </c>
      <c r="H360">
        <v>125</v>
      </c>
      <c r="I360" t="s">
        <v>1</v>
      </c>
      <c r="J360" t="b">
        <v>1</v>
      </c>
      <c r="K360" t="s">
        <v>16</v>
      </c>
      <c r="L360">
        <v>113527.71</v>
      </c>
      <c r="M360" t="str" cm="1">
        <f t="array" ref="M360">_xlfn.IFS(A360&lt;30,"Young",A360&lt;=50,"Adult",A360&gt;50,"Senior")</f>
        <v>Young</v>
      </c>
    </row>
    <row r="361" spans="1:13" x14ac:dyDescent="0.3">
      <c r="A361">
        <v>18</v>
      </c>
      <c r="B361" t="s">
        <v>11</v>
      </c>
      <c r="C361">
        <v>20.79</v>
      </c>
      <c r="D361">
        <v>0</v>
      </c>
      <c r="E361" t="s">
        <v>19</v>
      </c>
      <c r="F361" t="s">
        <v>7</v>
      </c>
      <c r="G361">
        <v>1607.5101</v>
      </c>
      <c r="H361">
        <v>116.9</v>
      </c>
      <c r="I361" t="s">
        <v>2</v>
      </c>
      <c r="J361" t="b">
        <v>0</v>
      </c>
      <c r="K361" t="s">
        <v>16</v>
      </c>
      <c r="L361">
        <v>38932.449999999997</v>
      </c>
      <c r="M361" t="str" cm="1">
        <f t="array" ref="M361">_xlfn.IFS(A361&lt;30,"Young",A361&lt;=50,"Adult",A361&gt;50,"Senior")</f>
        <v>Young</v>
      </c>
    </row>
    <row r="362" spans="1:13" x14ac:dyDescent="0.3">
      <c r="A362">
        <v>48</v>
      </c>
      <c r="B362" t="s">
        <v>11</v>
      </c>
      <c r="C362">
        <v>32.299999999999997</v>
      </c>
      <c r="D362">
        <v>2</v>
      </c>
      <c r="E362" t="s">
        <v>19</v>
      </c>
      <c r="F362" t="s">
        <v>9</v>
      </c>
      <c r="G362">
        <v>10043.249</v>
      </c>
      <c r="H362">
        <v>115.2</v>
      </c>
      <c r="I362" t="s">
        <v>0</v>
      </c>
      <c r="J362" t="b">
        <v>1</v>
      </c>
      <c r="K362" t="s">
        <v>14</v>
      </c>
      <c r="L362">
        <v>188520.78</v>
      </c>
      <c r="M362" t="str" cm="1">
        <f t="array" ref="M362">_xlfn.IFS(A362&lt;30,"Young",A362&lt;=50,"Adult",A362&gt;50,"Senior")</f>
        <v>Adult</v>
      </c>
    </row>
    <row r="363" spans="1:13" x14ac:dyDescent="0.3">
      <c r="A363">
        <v>35</v>
      </c>
      <c r="B363" t="s">
        <v>12</v>
      </c>
      <c r="C363">
        <v>30.5</v>
      </c>
      <c r="D363">
        <v>1</v>
      </c>
      <c r="E363" t="s">
        <v>19</v>
      </c>
      <c r="F363" t="s">
        <v>6</v>
      </c>
      <c r="G363">
        <v>4751.07</v>
      </c>
      <c r="H363">
        <v>120.3</v>
      </c>
      <c r="I363" t="s">
        <v>0</v>
      </c>
      <c r="J363" t="b">
        <v>0</v>
      </c>
      <c r="K363" t="s">
        <v>16</v>
      </c>
      <c r="L363">
        <v>66054.009999999995</v>
      </c>
      <c r="M363" t="str" cm="1">
        <f t="array" ref="M363">_xlfn.IFS(A363&lt;30,"Young",A363&lt;=50,"Adult",A363&gt;50,"Senior")</f>
        <v>Adult</v>
      </c>
    </row>
    <row r="364" spans="1:13" x14ac:dyDescent="0.3">
      <c r="A364">
        <v>19</v>
      </c>
      <c r="B364" t="s">
        <v>11</v>
      </c>
      <c r="C364">
        <v>21.7</v>
      </c>
      <c r="D364">
        <v>0</v>
      </c>
      <c r="E364" t="s">
        <v>18</v>
      </c>
      <c r="F364" t="s">
        <v>6</v>
      </c>
      <c r="G364">
        <v>13844.505999999999</v>
      </c>
      <c r="H364">
        <v>122.1</v>
      </c>
      <c r="I364" t="s">
        <v>0</v>
      </c>
      <c r="J364" t="b">
        <v>0</v>
      </c>
      <c r="K364" t="s">
        <v>14</v>
      </c>
      <c r="L364">
        <v>43842.68</v>
      </c>
      <c r="M364" t="str" cm="1">
        <f t="array" ref="M364">_xlfn.IFS(A364&lt;30,"Young",A364&lt;=50,"Adult",A364&gt;50,"Senior")</f>
        <v>Young</v>
      </c>
    </row>
    <row r="365" spans="1:13" x14ac:dyDescent="0.3">
      <c r="A365">
        <v>21</v>
      </c>
      <c r="B365" t="s">
        <v>11</v>
      </c>
      <c r="C365">
        <v>26.4</v>
      </c>
      <c r="D365">
        <v>1</v>
      </c>
      <c r="E365" t="s">
        <v>19</v>
      </c>
      <c r="F365" t="s">
        <v>6</v>
      </c>
      <c r="G365">
        <v>2597.779</v>
      </c>
      <c r="H365">
        <v>114</v>
      </c>
      <c r="I365" t="s">
        <v>3</v>
      </c>
      <c r="J365" t="b">
        <v>1</v>
      </c>
      <c r="K365" t="s">
        <v>16</v>
      </c>
      <c r="L365">
        <v>176425.69</v>
      </c>
      <c r="M365" t="str" cm="1">
        <f t="array" ref="M365">_xlfn.IFS(A365&lt;30,"Young",A365&lt;=50,"Adult",A365&gt;50,"Senior")</f>
        <v>Young</v>
      </c>
    </row>
    <row r="366" spans="1:13" x14ac:dyDescent="0.3">
      <c r="A366">
        <v>21</v>
      </c>
      <c r="B366" t="s">
        <v>11</v>
      </c>
      <c r="C366">
        <v>21.89</v>
      </c>
      <c r="D366">
        <v>2</v>
      </c>
      <c r="E366" t="s">
        <v>19</v>
      </c>
      <c r="F366" t="s">
        <v>7</v>
      </c>
      <c r="G366">
        <v>3180.5101</v>
      </c>
      <c r="H366">
        <v>138</v>
      </c>
      <c r="I366" t="s">
        <v>0</v>
      </c>
      <c r="J366" t="b">
        <v>1</v>
      </c>
      <c r="K366" t="s">
        <v>15</v>
      </c>
      <c r="L366">
        <v>175654.58</v>
      </c>
      <c r="M366" t="str" cm="1">
        <f t="array" ref="M366">_xlfn.IFS(A366&lt;30,"Young",A366&lt;=50,"Adult",A366&gt;50,"Senior")</f>
        <v>Young</v>
      </c>
    </row>
    <row r="367" spans="1:13" x14ac:dyDescent="0.3">
      <c r="A367">
        <v>49</v>
      </c>
      <c r="B367" t="s">
        <v>11</v>
      </c>
      <c r="C367">
        <v>30.78</v>
      </c>
      <c r="D367">
        <v>1</v>
      </c>
      <c r="E367" t="s">
        <v>19</v>
      </c>
      <c r="F367" t="s">
        <v>9</v>
      </c>
      <c r="G367">
        <v>9778.3472000000002</v>
      </c>
      <c r="H367">
        <v>133</v>
      </c>
      <c r="I367" t="s">
        <v>0</v>
      </c>
      <c r="J367" t="b">
        <v>1</v>
      </c>
      <c r="K367" t="s">
        <v>15</v>
      </c>
      <c r="L367">
        <v>90045.85</v>
      </c>
      <c r="M367" t="str" cm="1">
        <f t="array" ref="M367">_xlfn.IFS(A367&lt;30,"Young",A367&lt;=50,"Adult",A367&gt;50,"Senior")</f>
        <v>Adult</v>
      </c>
    </row>
    <row r="368" spans="1:13" x14ac:dyDescent="0.3">
      <c r="A368">
        <v>56</v>
      </c>
      <c r="B368" t="s">
        <v>11</v>
      </c>
      <c r="C368">
        <v>32.299999999999997</v>
      </c>
      <c r="D368">
        <v>3</v>
      </c>
      <c r="E368" t="s">
        <v>19</v>
      </c>
      <c r="F368" t="s">
        <v>9</v>
      </c>
      <c r="G368">
        <v>13430.264999999999</v>
      </c>
      <c r="H368">
        <v>138.30000000000001</v>
      </c>
      <c r="I368" t="s">
        <v>0</v>
      </c>
      <c r="J368" t="b">
        <v>1</v>
      </c>
      <c r="K368" t="s">
        <v>15</v>
      </c>
      <c r="L368">
        <v>45532.14</v>
      </c>
      <c r="M368" t="str" cm="1">
        <f t="array" ref="M368">_xlfn.IFS(A368&lt;30,"Young",A368&lt;=50,"Adult",A368&gt;50,"Senior")</f>
        <v>Senior</v>
      </c>
    </row>
    <row r="369" spans="1:13" x14ac:dyDescent="0.3">
      <c r="A369">
        <v>42</v>
      </c>
      <c r="B369" t="s">
        <v>11</v>
      </c>
      <c r="C369">
        <v>24.984999999999999</v>
      </c>
      <c r="D369">
        <v>2</v>
      </c>
      <c r="E369" t="s">
        <v>19</v>
      </c>
      <c r="F369" t="s">
        <v>8</v>
      </c>
      <c r="G369">
        <v>8017.0611500000005</v>
      </c>
      <c r="H369">
        <v>131.69999999999999</v>
      </c>
      <c r="I369" t="s">
        <v>0</v>
      </c>
      <c r="J369" t="b">
        <v>0</v>
      </c>
      <c r="K369" t="s">
        <v>15</v>
      </c>
      <c r="L369">
        <v>182793.69</v>
      </c>
      <c r="M369" t="str" cm="1">
        <f t="array" ref="M369">_xlfn.IFS(A369&lt;30,"Young",A369&lt;=50,"Adult",A369&gt;50,"Senior")</f>
        <v>Adult</v>
      </c>
    </row>
    <row r="370" spans="1:13" x14ac:dyDescent="0.3">
      <c r="A370">
        <v>44</v>
      </c>
      <c r="B370" t="s">
        <v>12</v>
      </c>
      <c r="C370">
        <v>32.015000000000001</v>
      </c>
      <c r="D370">
        <v>2</v>
      </c>
      <c r="E370" t="s">
        <v>19</v>
      </c>
      <c r="F370" t="s">
        <v>8</v>
      </c>
      <c r="G370">
        <v>8116.2688500000004</v>
      </c>
      <c r="H370">
        <v>137.69999999999999</v>
      </c>
      <c r="I370" t="s">
        <v>2</v>
      </c>
      <c r="J370" t="b">
        <v>1</v>
      </c>
      <c r="K370" t="s">
        <v>14</v>
      </c>
      <c r="L370">
        <v>30387.439999999999</v>
      </c>
      <c r="M370" t="str" cm="1">
        <f t="array" ref="M370">_xlfn.IFS(A370&lt;30,"Young",A370&lt;=50,"Adult",A370&gt;50,"Senior")</f>
        <v>Adult</v>
      </c>
    </row>
    <row r="371" spans="1:13" x14ac:dyDescent="0.3">
      <c r="A371">
        <v>18</v>
      </c>
      <c r="B371" t="s">
        <v>12</v>
      </c>
      <c r="C371">
        <v>30.4</v>
      </c>
      <c r="D371">
        <v>3</v>
      </c>
      <c r="E371" t="s">
        <v>19</v>
      </c>
      <c r="F371" t="s">
        <v>9</v>
      </c>
      <c r="G371">
        <v>3481.8679999999999</v>
      </c>
      <c r="H371">
        <v>129.30000000000001</v>
      </c>
      <c r="I371" t="s">
        <v>0</v>
      </c>
      <c r="J371" t="b">
        <v>1</v>
      </c>
      <c r="K371" t="s">
        <v>16</v>
      </c>
      <c r="L371">
        <v>142076.99</v>
      </c>
      <c r="M371" t="str" cm="1">
        <f t="array" ref="M371">_xlfn.IFS(A371&lt;30,"Young",A371&lt;=50,"Adult",A371&gt;50,"Senior")</f>
        <v>Young</v>
      </c>
    </row>
    <row r="372" spans="1:13" x14ac:dyDescent="0.3">
      <c r="A372">
        <v>61</v>
      </c>
      <c r="B372" t="s">
        <v>11</v>
      </c>
      <c r="C372">
        <v>21.09</v>
      </c>
      <c r="D372">
        <v>0</v>
      </c>
      <c r="E372" t="s">
        <v>19</v>
      </c>
      <c r="F372" t="s">
        <v>8</v>
      </c>
      <c r="G372">
        <v>13415.0381</v>
      </c>
      <c r="H372">
        <v>125.4</v>
      </c>
      <c r="I372" t="s">
        <v>2</v>
      </c>
      <c r="J372" t="b">
        <v>0</v>
      </c>
      <c r="K372" t="s">
        <v>16</v>
      </c>
      <c r="L372">
        <v>128002.73</v>
      </c>
      <c r="M372" t="str" cm="1">
        <f t="array" ref="M372">_xlfn.IFS(A372&lt;30,"Young",A372&lt;=50,"Adult",A372&gt;50,"Senior")</f>
        <v>Senior</v>
      </c>
    </row>
    <row r="373" spans="1:13" x14ac:dyDescent="0.3">
      <c r="A373">
        <v>57</v>
      </c>
      <c r="B373" t="s">
        <v>11</v>
      </c>
      <c r="C373">
        <v>22.23</v>
      </c>
      <c r="D373">
        <v>0</v>
      </c>
      <c r="E373" t="s">
        <v>19</v>
      </c>
      <c r="F373" t="s">
        <v>9</v>
      </c>
      <c r="G373">
        <v>12029.286700000001</v>
      </c>
      <c r="H373">
        <v>135.19999999999999</v>
      </c>
      <c r="I373" t="s">
        <v>2</v>
      </c>
      <c r="J373" t="b">
        <v>1</v>
      </c>
      <c r="K373" t="s">
        <v>15</v>
      </c>
      <c r="L373">
        <v>171079.41</v>
      </c>
      <c r="M373" t="str" cm="1">
        <f t="array" ref="M373">_xlfn.IFS(A373&lt;30,"Young",A373&lt;=50,"Adult",A373&gt;50,"Senior")</f>
        <v>Senior</v>
      </c>
    </row>
    <row r="374" spans="1:13" x14ac:dyDescent="0.3">
      <c r="A374">
        <v>42</v>
      </c>
      <c r="B374" t="s">
        <v>11</v>
      </c>
      <c r="C374">
        <v>33.155000000000001</v>
      </c>
      <c r="D374">
        <v>1</v>
      </c>
      <c r="E374" t="s">
        <v>19</v>
      </c>
      <c r="F374" t="s">
        <v>9</v>
      </c>
      <c r="G374">
        <v>7639.4174499999999</v>
      </c>
      <c r="H374">
        <v>134.4</v>
      </c>
      <c r="I374" t="s">
        <v>3</v>
      </c>
      <c r="J374" t="b">
        <v>1</v>
      </c>
      <c r="K374" t="s">
        <v>14</v>
      </c>
      <c r="L374">
        <v>159664.24</v>
      </c>
      <c r="M374" t="str" cm="1">
        <f t="array" ref="M374">_xlfn.IFS(A374&lt;30,"Young",A374&lt;=50,"Adult",A374&gt;50,"Senior")</f>
        <v>Adult</v>
      </c>
    </row>
    <row r="375" spans="1:13" x14ac:dyDescent="0.3">
      <c r="A375">
        <v>26</v>
      </c>
      <c r="B375" t="s">
        <v>12</v>
      </c>
      <c r="C375">
        <v>32.9</v>
      </c>
      <c r="D375">
        <v>2</v>
      </c>
      <c r="E375" t="s">
        <v>18</v>
      </c>
      <c r="F375" t="s">
        <v>6</v>
      </c>
      <c r="G375">
        <v>36085.218999999997</v>
      </c>
      <c r="H375">
        <v>111</v>
      </c>
      <c r="I375" t="s">
        <v>2</v>
      </c>
      <c r="J375" t="b">
        <v>0</v>
      </c>
      <c r="K375" t="s">
        <v>16</v>
      </c>
      <c r="L375">
        <v>90786.02</v>
      </c>
      <c r="M375" t="str" cm="1">
        <f t="array" ref="M375">_xlfn.IFS(A375&lt;30,"Young",A375&lt;=50,"Adult",A375&gt;50,"Senior")</f>
        <v>Young</v>
      </c>
    </row>
    <row r="376" spans="1:13" x14ac:dyDescent="0.3">
      <c r="A376">
        <v>20</v>
      </c>
      <c r="B376" t="s">
        <v>12</v>
      </c>
      <c r="C376">
        <v>33.33</v>
      </c>
      <c r="D376">
        <v>0</v>
      </c>
      <c r="E376" t="s">
        <v>19</v>
      </c>
      <c r="F376" t="s">
        <v>7</v>
      </c>
      <c r="G376">
        <v>1391.5287000000001</v>
      </c>
      <c r="H376">
        <v>120.9</v>
      </c>
      <c r="I376" t="s">
        <v>3</v>
      </c>
      <c r="J376" t="b">
        <v>0</v>
      </c>
      <c r="K376" t="s">
        <v>15</v>
      </c>
      <c r="L376">
        <v>188267.24</v>
      </c>
      <c r="M376" t="str" cm="1">
        <f t="array" ref="M376">_xlfn.IFS(A376&lt;30,"Young",A376&lt;=50,"Adult",A376&gt;50,"Senior")</f>
        <v>Young</v>
      </c>
    </row>
    <row r="377" spans="1:13" x14ac:dyDescent="0.3">
      <c r="A377">
        <v>23</v>
      </c>
      <c r="B377" t="s">
        <v>11</v>
      </c>
      <c r="C377">
        <v>28.31</v>
      </c>
      <c r="D377">
        <v>0</v>
      </c>
      <c r="E377" t="s">
        <v>18</v>
      </c>
      <c r="F377" t="s">
        <v>8</v>
      </c>
      <c r="G377">
        <v>18033.9679</v>
      </c>
      <c r="H377">
        <v>120.5</v>
      </c>
      <c r="I377" t="s">
        <v>0</v>
      </c>
      <c r="J377" t="b">
        <v>0</v>
      </c>
      <c r="K377" t="s">
        <v>14</v>
      </c>
      <c r="L377">
        <v>92753.77</v>
      </c>
      <c r="M377" t="str" cm="1">
        <f t="array" ref="M377">_xlfn.IFS(A377&lt;30,"Young",A377&lt;=50,"Adult",A377&gt;50,"Senior")</f>
        <v>Young</v>
      </c>
    </row>
    <row r="378" spans="1:13" x14ac:dyDescent="0.3">
      <c r="A378">
        <v>39</v>
      </c>
      <c r="B378" t="s">
        <v>11</v>
      </c>
      <c r="C378">
        <v>24.89</v>
      </c>
      <c r="D378">
        <v>3</v>
      </c>
      <c r="E378" t="s">
        <v>18</v>
      </c>
      <c r="F378" t="s">
        <v>9</v>
      </c>
      <c r="G378">
        <v>21659.930100000001</v>
      </c>
      <c r="H378">
        <v>118.9</v>
      </c>
      <c r="I378" t="s">
        <v>3</v>
      </c>
      <c r="J378" t="b">
        <v>1</v>
      </c>
      <c r="K378" t="s">
        <v>15</v>
      </c>
      <c r="L378">
        <v>110941.24</v>
      </c>
      <c r="M378" t="str" cm="1">
        <f t="array" ref="M378">_xlfn.IFS(A378&lt;30,"Young",A378&lt;=50,"Adult",A378&gt;50,"Senior")</f>
        <v>Adult</v>
      </c>
    </row>
    <row r="379" spans="1:13" x14ac:dyDescent="0.3">
      <c r="A379">
        <v>24</v>
      </c>
      <c r="B379" t="s">
        <v>12</v>
      </c>
      <c r="C379">
        <v>40.15</v>
      </c>
      <c r="D379">
        <v>0</v>
      </c>
      <c r="E379" t="s">
        <v>18</v>
      </c>
      <c r="F379" t="s">
        <v>7</v>
      </c>
      <c r="G379">
        <v>38126.246500000001</v>
      </c>
      <c r="H379">
        <v>126.2</v>
      </c>
      <c r="I379" t="s">
        <v>1</v>
      </c>
      <c r="J379" t="b">
        <v>0</v>
      </c>
      <c r="K379" t="s">
        <v>15</v>
      </c>
      <c r="L379">
        <v>155784.13</v>
      </c>
      <c r="M379" t="str" cm="1">
        <f t="array" ref="M379">_xlfn.IFS(A379&lt;30,"Young",A379&lt;=50,"Adult",A379&gt;50,"Senior")</f>
        <v>Young</v>
      </c>
    </row>
    <row r="380" spans="1:13" x14ac:dyDescent="0.3">
      <c r="A380">
        <v>64</v>
      </c>
      <c r="B380" t="s">
        <v>11</v>
      </c>
      <c r="C380">
        <v>30.114999999999998</v>
      </c>
      <c r="D380">
        <v>3</v>
      </c>
      <c r="E380" t="s">
        <v>19</v>
      </c>
      <c r="F380" t="s">
        <v>8</v>
      </c>
      <c r="G380">
        <v>16455.707849999999</v>
      </c>
      <c r="H380">
        <v>112.2</v>
      </c>
      <c r="I380" t="s">
        <v>1</v>
      </c>
      <c r="J380" t="b">
        <v>0</v>
      </c>
      <c r="K380" t="s">
        <v>16</v>
      </c>
      <c r="L380">
        <v>196265.5</v>
      </c>
      <c r="M380" t="str" cm="1">
        <f t="array" ref="M380">_xlfn.IFS(A380&lt;30,"Young",A380&lt;=50,"Adult",A380&gt;50,"Senior")</f>
        <v>Senior</v>
      </c>
    </row>
    <row r="381" spans="1:13" x14ac:dyDescent="0.3">
      <c r="A381">
        <v>62</v>
      </c>
      <c r="B381" t="s">
        <v>12</v>
      </c>
      <c r="C381">
        <v>31.46</v>
      </c>
      <c r="D381">
        <v>1</v>
      </c>
      <c r="E381" t="s">
        <v>19</v>
      </c>
      <c r="F381" t="s">
        <v>7</v>
      </c>
      <c r="G381">
        <v>27000.98473</v>
      </c>
      <c r="H381">
        <v>124.4</v>
      </c>
      <c r="I381" t="s">
        <v>3</v>
      </c>
      <c r="J381" t="b">
        <v>0</v>
      </c>
      <c r="K381" t="s">
        <v>16</v>
      </c>
      <c r="L381">
        <v>150994.71</v>
      </c>
      <c r="M381" t="str" cm="1">
        <f t="array" ref="M381">_xlfn.IFS(A381&lt;30,"Young",A381&lt;=50,"Adult",A381&gt;50,"Senior")</f>
        <v>Senior</v>
      </c>
    </row>
    <row r="382" spans="1:13" x14ac:dyDescent="0.3">
      <c r="A382">
        <v>27</v>
      </c>
      <c r="B382" t="s">
        <v>11</v>
      </c>
      <c r="C382">
        <v>17.954999999999998</v>
      </c>
      <c r="D382">
        <v>2</v>
      </c>
      <c r="E382" t="s">
        <v>18</v>
      </c>
      <c r="F382" t="s">
        <v>9</v>
      </c>
      <c r="G382">
        <v>15006.579449999999</v>
      </c>
      <c r="H382">
        <v>122</v>
      </c>
      <c r="I382" t="s">
        <v>3</v>
      </c>
      <c r="J382" t="b">
        <v>1</v>
      </c>
      <c r="K382" t="s">
        <v>15</v>
      </c>
      <c r="L382">
        <v>108073.32</v>
      </c>
      <c r="M382" t="str" cm="1">
        <f t="array" ref="M382">_xlfn.IFS(A382&lt;30,"Young",A382&lt;=50,"Adult",A382&gt;50,"Senior")</f>
        <v>Young</v>
      </c>
    </row>
    <row r="383" spans="1:13" x14ac:dyDescent="0.3">
      <c r="A383">
        <v>55</v>
      </c>
      <c r="B383" t="s">
        <v>12</v>
      </c>
      <c r="C383">
        <v>30.684999999999999</v>
      </c>
      <c r="D383">
        <v>0</v>
      </c>
      <c r="E383" t="s">
        <v>18</v>
      </c>
      <c r="F383" t="s">
        <v>9</v>
      </c>
      <c r="G383">
        <v>42303.692150000003</v>
      </c>
      <c r="H383">
        <v>125.3</v>
      </c>
      <c r="I383" t="s">
        <v>0</v>
      </c>
      <c r="J383" t="b">
        <v>0</v>
      </c>
      <c r="K383" t="s">
        <v>14</v>
      </c>
      <c r="L383">
        <v>55631.06</v>
      </c>
      <c r="M383" t="str" cm="1">
        <f t="array" ref="M383">_xlfn.IFS(A383&lt;30,"Young",A383&lt;=50,"Adult",A383&gt;50,"Senior")</f>
        <v>Senior</v>
      </c>
    </row>
    <row r="384" spans="1:13" x14ac:dyDescent="0.3">
      <c r="A384">
        <v>55</v>
      </c>
      <c r="B384" t="s">
        <v>12</v>
      </c>
      <c r="C384">
        <v>33</v>
      </c>
      <c r="D384">
        <v>0</v>
      </c>
      <c r="E384" t="s">
        <v>19</v>
      </c>
      <c r="F384" t="s">
        <v>7</v>
      </c>
      <c r="G384">
        <v>20781.48892</v>
      </c>
      <c r="H384">
        <v>120.5</v>
      </c>
      <c r="I384" t="s">
        <v>1</v>
      </c>
      <c r="J384" t="b">
        <v>0</v>
      </c>
      <c r="K384" t="s">
        <v>15</v>
      </c>
      <c r="L384">
        <v>65954.2</v>
      </c>
      <c r="M384" t="str" cm="1">
        <f t="array" ref="M384">_xlfn.IFS(A384&lt;30,"Young",A384&lt;=50,"Adult",A384&gt;50,"Senior")</f>
        <v>Senior</v>
      </c>
    </row>
    <row r="385" spans="1:13" x14ac:dyDescent="0.3">
      <c r="A385">
        <v>35</v>
      </c>
      <c r="B385" t="s">
        <v>11</v>
      </c>
      <c r="C385">
        <v>43.34</v>
      </c>
      <c r="D385">
        <v>2</v>
      </c>
      <c r="E385" t="s">
        <v>19</v>
      </c>
      <c r="F385" t="s">
        <v>7</v>
      </c>
      <c r="G385">
        <v>5846.9175999999998</v>
      </c>
      <c r="H385">
        <v>118.3</v>
      </c>
      <c r="I385" t="s">
        <v>0</v>
      </c>
      <c r="J385" t="b">
        <v>0</v>
      </c>
      <c r="K385" t="s">
        <v>14</v>
      </c>
      <c r="L385">
        <v>146268.01</v>
      </c>
      <c r="M385" t="str" cm="1">
        <f t="array" ref="M385">_xlfn.IFS(A385&lt;30,"Young",A385&lt;=50,"Adult",A385&gt;50,"Senior")</f>
        <v>Adult</v>
      </c>
    </row>
    <row r="386" spans="1:13" x14ac:dyDescent="0.3">
      <c r="A386">
        <v>44</v>
      </c>
      <c r="B386" t="s">
        <v>12</v>
      </c>
      <c r="C386">
        <v>22.135000000000002</v>
      </c>
      <c r="D386">
        <v>2</v>
      </c>
      <c r="E386" t="s">
        <v>19</v>
      </c>
      <c r="F386" t="s">
        <v>9</v>
      </c>
      <c r="G386">
        <v>8302.5356499999998</v>
      </c>
      <c r="H386">
        <v>110.5</v>
      </c>
      <c r="I386" t="s">
        <v>1</v>
      </c>
      <c r="J386" t="b">
        <v>0</v>
      </c>
      <c r="K386" t="s">
        <v>16</v>
      </c>
      <c r="L386">
        <v>118632.98</v>
      </c>
      <c r="M386" t="str" cm="1">
        <f t="array" ref="M386">_xlfn.IFS(A386&lt;30,"Young",A386&lt;=50,"Adult",A386&gt;50,"Senior")</f>
        <v>Adult</v>
      </c>
    </row>
    <row r="387" spans="1:13" x14ac:dyDescent="0.3">
      <c r="A387">
        <v>19</v>
      </c>
      <c r="B387" t="s">
        <v>12</v>
      </c>
      <c r="C387">
        <v>34.4</v>
      </c>
      <c r="D387">
        <v>0</v>
      </c>
      <c r="E387" t="s">
        <v>19</v>
      </c>
      <c r="F387" t="s">
        <v>6</v>
      </c>
      <c r="G387">
        <v>1261.8589999999999</v>
      </c>
      <c r="H387">
        <v>121.7</v>
      </c>
      <c r="I387" t="s">
        <v>0</v>
      </c>
      <c r="J387" t="b">
        <v>1</v>
      </c>
      <c r="K387" t="s">
        <v>15</v>
      </c>
      <c r="L387">
        <v>157461.24</v>
      </c>
      <c r="M387" t="str" cm="1">
        <f t="array" ref="M387">_xlfn.IFS(A387&lt;30,"Young",A387&lt;=50,"Adult",A387&gt;50,"Senior")</f>
        <v>Young</v>
      </c>
    </row>
    <row r="388" spans="1:13" x14ac:dyDescent="0.3">
      <c r="A388">
        <v>58</v>
      </c>
      <c r="B388" t="s">
        <v>11</v>
      </c>
      <c r="C388">
        <v>39.049999999999997</v>
      </c>
      <c r="D388">
        <v>0</v>
      </c>
      <c r="E388" t="s">
        <v>19</v>
      </c>
      <c r="F388" t="s">
        <v>7</v>
      </c>
      <c r="G388">
        <v>11856.4115</v>
      </c>
      <c r="H388">
        <v>129.19999999999999</v>
      </c>
      <c r="I388" t="s">
        <v>1</v>
      </c>
      <c r="J388" t="b">
        <v>0</v>
      </c>
      <c r="K388" t="s">
        <v>15</v>
      </c>
      <c r="L388">
        <v>131183.87</v>
      </c>
      <c r="M388" t="str" cm="1">
        <f t="array" ref="M388">_xlfn.IFS(A388&lt;30,"Young",A388&lt;=50,"Adult",A388&gt;50,"Senior")</f>
        <v>Senior</v>
      </c>
    </row>
    <row r="389" spans="1:13" x14ac:dyDescent="0.3">
      <c r="A389">
        <v>50</v>
      </c>
      <c r="B389" t="s">
        <v>12</v>
      </c>
      <c r="C389">
        <v>25.364999999999998</v>
      </c>
      <c r="D389">
        <v>2</v>
      </c>
      <c r="E389" t="s">
        <v>19</v>
      </c>
      <c r="F389" t="s">
        <v>8</v>
      </c>
      <c r="G389">
        <v>30284.642940000002</v>
      </c>
      <c r="H389">
        <v>112.1</v>
      </c>
      <c r="I389" t="s">
        <v>3</v>
      </c>
      <c r="J389" t="b">
        <v>1</v>
      </c>
      <c r="K389" t="s">
        <v>15</v>
      </c>
      <c r="L389">
        <v>178010</v>
      </c>
      <c r="M389" t="str" cm="1">
        <f t="array" ref="M389">_xlfn.IFS(A389&lt;30,"Young",A389&lt;=50,"Adult",A389&gt;50,"Senior")</f>
        <v>Adult</v>
      </c>
    </row>
    <row r="390" spans="1:13" x14ac:dyDescent="0.3">
      <c r="A390">
        <v>26</v>
      </c>
      <c r="B390" t="s">
        <v>11</v>
      </c>
      <c r="C390">
        <v>22.61</v>
      </c>
      <c r="D390">
        <v>0</v>
      </c>
      <c r="E390" t="s">
        <v>19</v>
      </c>
      <c r="F390" t="s">
        <v>8</v>
      </c>
      <c r="G390">
        <v>3176.8159000000001</v>
      </c>
      <c r="H390">
        <v>125.5</v>
      </c>
      <c r="I390" t="s">
        <v>1</v>
      </c>
      <c r="J390" t="b">
        <v>1</v>
      </c>
      <c r="K390" t="s">
        <v>16</v>
      </c>
      <c r="L390">
        <v>82018.820000000007</v>
      </c>
      <c r="M390" t="str" cm="1">
        <f t="array" ref="M390">_xlfn.IFS(A390&lt;30,"Young",A390&lt;=50,"Adult",A390&gt;50,"Senior")</f>
        <v>Young</v>
      </c>
    </row>
    <row r="391" spans="1:13" x14ac:dyDescent="0.3">
      <c r="A391">
        <v>24</v>
      </c>
      <c r="B391" t="s">
        <v>11</v>
      </c>
      <c r="C391">
        <v>30.21</v>
      </c>
      <c r="D391">
        <v>3</v>
      </c>
      <c r="E391" t="s">
        <v>19</v>
      </c>
      <c r="F391" t="s">
        <v>8</v>
      </c>
      <c r="G391">
        <v>4618.0798999999997</v>
      </c>
      <c r="H391">
        <v>130.19999999999999</v>
      </c>
      <c r="I391" t="s">
        <v>1</v>
      </c>
      <c r="J391" t="b">
        <v>0</v>
      </c>
      <c r="K391" t="s">
        <v>14</v>
      </c>
      <c r="L391">
        <v>94420.22</v>
      </c>
      <c r="M391" t="str" cm="1">
        <f t="array" ref="M391">_xlfn.IFS(A391&lt;30,"Young",A391&lt;=50,"Adult",A391&gt;50,"Senior")</f>
        <v>Young</v>
      </c>
    </row>
    <row r="392" spans="1:13" x14ac:dyDescent="0.3">
      <c r="A392">
        <v>48</v>
      </c>
      <c r="B392" t="s">
        <v>12</v>
      </c>
      <c r="C392">
        <v>35.625</v>
      </c>
      <c r="D392">
        <v>4</v>
      </c>
      <c r="E392" t="s">
        <v>19</v>
      </c>
      <c r="F392" t="s">
        <v>9</v>
      </c>
      <c r="G392">
        <v>10736.87075</v>
      </c>
      <c r="H392">
        <v>117.4</v>
      </c>
      <c r="I392" t="s">
        <v>2</v>
      </c>
      <c r="J392" t="b">
        <v>0</v>
      </c>
      <c r="K392" t="s">
        <v>15</v>
      </c>
      <c r="L392">
        <v>125886.95</v>
      </c>
      <c r="M392" t="str" cm="1">
        <f t="array" ref="M392">_xlfn.IFS(A392&lt;30,"Young",A392&lt;=50,"Adult",A392&gt;50,"Senior")</f>
        <v>Adult</v>
      </c>
    </row>
    <row r="393" spans="1:13" x14ac:dyDescent="0.3">
      <c r="A393">
        <v>19</v>
      </c>
      <c r="B393" t="s">
        <v>11</v>
      </c>
      <c r="C393">
        <v>37.43</v>
      </c>
      <c r="D393">
        <v>0</v>
      </c>
      <c r="E393" t="s">
        <v>19</v>
      </c>
      <c r="F393" t="s">
        <v>8</v>
      </c>
      <c r="G393">
        <v>2138.0707000000002</v>
      </c>
      <c r="H393">
        <v>116.6</v>
      </c>
      <c r="I393" t="s">
        <v>0</v>
      </c>
      <c r="J393" t="b">
        <v>0</v>
      </c>
      <c r="K393" t="s">
        <v>14</v>
      </c>
      <c r="L393">
        <v>162974.63</v>
      </c>
      <c r="M393" t="str" cm="1">
        <f t="array" ref="M393">_xlfn.IFS(A393&lt;30,"Young",A393&lt;=50,"Adult",A393&gt;50,"Senior")</f>
        <v>Young</v>
      </c>
    </row>
    <row r="394" spans="1:13" x14ac:dyDescent="0.3">
      <c r="A394">
        <v>48</v>
      </c>
      <c r="B394" t="s">
        <v>12</v>
      </c>
      <c r="C394">
        <v>31.445</v>
      </c>
      <c r="D394">
        <v>1</v>
      </c>
      <c r="E394" t="s">
        <v>19</v>
      </c>
      <c r="F394" t="s">
        <v>9</v>
      </c>
      <c r="G394">
        <v>8964.0605500000001</v>
      </c>
      <c r="H394">
        <v>113</v>
      </c>
      <c r="I394" t="s">
        <v>1</v>
      </c>
      <c r="J394" t="b">
        <v>0</v>
      </c>
      <c r="K394" t="s">
        <v>16</v>
      </c>
      <c r="L394">
        <v>161681.9</v>
      </c>
      <c r="M394" t="str" cm="1">
        <f t="array" ref="M394">_xlfn.IFS(A394&lt;30,"Young",A394&lt;=50,"Adult",A394&gt;50,"Senior")</f>
        <v>Adult</v>
      </c>
    </row>
    <row r="395" spans="1:13" x14ac:dyDescent="0.3">
      <c r="A395">
        <v>49</v>
      </c>
      <c r="B395" t="s">
        <v>12</v>
      </c>
      <c r="C395">
        <v>31.35</v>
      </c>
      <c r="D395">
        <v>1</v>
      </c>
      <c r="E395" t="s">
        <v>19</v>
      </c>
      <c r="F395" t="s">
        <v>9</v>
      </c>
      <c r="G395">
        <v>9290.1394999999993</v>
      </c>
      <c r="H395">
        <v>130.1</v>
      </c>
      <c r="I395" t="s">
        <v>1</v>
      </c>
      <c r="J395" t="b">
        <v>1</v>
      </c>
      <c r="K395" t="s">
        <v>15</v>
      </c>
      <c r="L395">
        <v>84522.46</v>
      </c>
      <c r="M395" t="str" cm="1">
        <f t="array" ref="M395">_xlfn.IFS(A395&lt;30,"Young",A395&lt;=50,"Adult",A395&gt;50,"Senior")</f>
        <v>Adult</v>
      </c>
    </row>
    <row r="396" spans="1:13" x14ac:dyDescent="0.3">
      <c r="A396">
        <v>46</v>
      </c>
      <c r="B396" t="s">
        <v>11</v>
      </c>
      <c r="C396">
        <v>32.299999999999997</v>
      </c>
      <c r="D396">
        <v>2</v>
      </c>
      <c r="E396" t="s">
        <v>19</v>
      </c>
      <c r="F396" t="s">
        <v>9</v>
      </c>
      <c r="G396">
        <v>9411.0049999999992</v>
      </c>
      <c r="H396">
        <v>114.3</v>
      </c>
      <c r="I396" t="s">
        <v>0</v>
      </c>
      <c r="J396" t="b">
        <v>1</v>
      </c>
      <c r="K396" t="s">
        <v>16</v>
      </c>
      <c r="L396">
        <v>42732.17</v>
      </c>
      <c r="M396" t="str" cm="1">
        <f t="array" ref="M396">_xlfn.IFS(A396&lt;30,"Young",A396&lt;=50,"Adult",A396&gt;50,"Senior")</f>
        <v>Adult</v>
      </c>
    </row>
    <row r="397" spans="1:13" x14ac:dyDescent="0.3">
      <c r="A397">
        <v>46</v>
      </c>
      <c r="B397" t="s">
        <v>12</v>
      </c>
      <c r="C397">
        <v>19.855</v>
      </c>
      <c r="D397">
        <v>0</v>
      </c>
      <c r="E397" t="s">
        <v>19</v>
      </c>
      <c r="F397" t="s">
        <v>8</v>
      </c>
      <c r="G397">
        <v>7526.7064499999997</v>
      </c>
      <c r="H397">
        <v>122</v>
      </c>
      <c r="I397" t="s">
        <v>3</v>
      </c>
      <c r="J397" t="b">
        <v>0</v>
      </c>
      <c r="K397" t="s">
        <v>14</v>
      </c>
      <c r="L397">
        <v>83900.27</v>
      </c>
      <c r="M397" t="str" cm="1">
        <f t="array" ref="M397">_xlfn.IFS(A397&lt;30,"Young",A397&lt;=50,"Adult",A397&gt;50,"Senior")</f>
        <v>Adult</v>
      </c>
    </row>
    <row r="398" spans="1:13" x14ac:dyDescent="0.3">
      <c r="A398">
        <v>43</v>
      </c>
      <c r="B398" t="s">
        <v>11</v>
      </c>
      <c r="C398">
        <v>34.4</v>
      </c>
      <c r="D398">
        <v>3</v>
      </c>
      <c r="E398" t="s">
        <v>19</v>
      </c>
      <c r="F398" t="s">
        <v>6</v>
      </c>
      <c r="G398">
        <v>8522.0030000000006</v>
      </c>
      <c r="H398">
        <v>126.5</v>
      </c>
      <c r="I398" t="s">
        <v>0</v>
      </c>
      <c r="J398" t="b">
        <v>1</v>
      </c>
      <c r="K398" t="s">
        <v>14</v>
      </c>
      <c r="L398">
        <v>148377.49</v>
      </c>
      <c r="M398" t="str" cm="1">
        <f t="array" ref="M398">_xlfn.IFS(A398&lt;30,"Young",A398&lt;=50,"Adult",A398&gt;50,"Senior")</f>
        <v>Adult</v>
      </c>
    </row>
    <row r="399" spans="1:13" x14ac:dyDescent="0.3">
      <c r="A399">
        <v>21</v>
      </c>
      <c r="B399" t="s">
        <v>12</v>
      </c>
      <c r="C399">
        <v>31.02</v>
      </c>
      <c r="D399">
        <v>0</v>
      </c>
      <c r="E399" t="s">
        <v>19</v>
      </c>
      <c r="F399" t="s">
        <v>7</v>
      </c>
      <c r="G399">
        <v>16586.49771</v>
      </c>
      <c r="H399">
        <v>129.69999999999999</v>
      </c>
      <c r="I399" t="s">
        <v>2</v>
      </c>
      <c r="J399" t="b">
        <v>1</v>
      </c>
      <c r="K399" t="s">
        <v>14</v>
      </c>
      <c r="L399">
        <v>185897.06</v>
      </c>
      <c r="M399" t="str" cm="1">
        <f t="array" ref="M399">_xlfn.IFS(A399&lt;30,"Young",A399&lt;=50,"Adult",A399&gt;50,"Senior")</f>
        <v>Young</v>
      </c>
    </row>
    <row r="400" spans="1:13" x14ac:dyDescent="0.3">
      <c r="A400">
        <v>64</v>
      </c>
      <c r="B400" t="s">
        <v>12</v>
      </c>
      <c r="C400">
        <v>25.6</v>
      </c>
      <c r="D400">
        <v>2</v>
      </c>
      <c r="E400" t="s">
        <v>19</v>
      </c>
      <c r="F400" t="s">
        <v>6</v>
      </c>
      <c r="G400">
        <v>14988.432000000001</v>
      </c>
      <c r="H400">
        <v>112.5</v>
      </c>
      <c r="I400" t="s">
        <v>1</v>
      </c>
      <c r="J400" t="b">
        <v>1</v>
      </c>
      <c r="K400" t="s">
        <v>15</v>
      </c>
      <c r="L400">
        <v>143377.79999999999</v>
      </c>
      <c r="M400" t="str" cm="1">
        <f t="array" ref="M400">_xlfn.IFS(A400&lt;30,"Young",A400&lt;=50,"Adult",A400&gt;50,"Senior")</f>
        <v>Senior</v>
      </c>
    </row>
    <row r="401" spans="1:13" x14ac:dyDescent="0.3">
      <c r="A401">
        <v>18</v>
      </c>
      <c r="B401" t="s">
        <v>11</v>
      </c>
      <c r="C401">
        <v>38.17</v>
      </c>
      <c r="D401">
        <v>0</v>
      </c>
      <c r="E401" t="s">
        <v>19</v>
      </c>
      <c r="F401" t="s">
        <v>7</v>
      </c>
      <c r="G401">
        <v>1631.6683</v>
      </c>
      <c r="H401">
        <v>113.2</v>
      </c>
      <c r="I401" t="s">
        <v>1</v>
      </c>
      <c r="J401" t="b">
        <v>0</v>
      </c>
      <c r="K401" t="s">
        <v>15</v>
      </c>
      <c r="L401">
        <v>79007.039999999994</v>
      </c>
      <c r="M401" t="str" cm="1">
        <f t="array" ref="M401">_xlfn.IFS(A401&lt;30,"Young",A401&lt;=50,"Adult",A401&gt;50,"Senior")</f>
        <v>Young</v>
      </c>
    </row>
    <row r="402" spans="1:13" x14ac:dyDescent="0.3">
      <c r="A402">
        <v>51</v>
      </c>
      <c r="B402" t="s">
        <v>11</v>
      </c>
      <c r="C402">
        <v>20.6</v>
      </c>
      <c r="D402">
        <v>0</v>
      </c>
      <c r="E402" t="s">
        <v>19</v>
      </c>
      <c r="F402" t="s">
        <v>6</v>
      </c>
      <c r="G402">
        <v>9264.7970000000005</v>
      </c>
      <c r="H402">
        <v>135.69999999999999</v>
      </c>
      <c r="I402" t="s">
        <v>3</v>
      </c>
      <c r="J402" t="b">
        <v>1</v>
      </c>
      <c r="K402" t="s">
        <v>15</v>
      </c>
      <c r="L402">
        <v>151369.98000000001</v>
      </c>
      <c r="M402" t="str" cm="1">
        <f t="array" ref="M402">_xlfn.IFS(A402&lt;30,"Young",A402&lt;=50,"Adult",A402&gt;50,"Senior")</f>
        <v>Senior</v>
      </c>
    </row>
    <row r="403" spans="1:13" x14ac:dyDescent="0.3">
      <c r="A403">
        <v>47</v>
      </c>
      <c r="B403" t="s">
        <v>12</v>
      </c>
      <c r="C403">
        <v>47.52</v>
      </c>
      <c r="D403">
        <v>1</v>
      </c>
      <c r="E403" t="s">
        <v>19</v>
      </c>
      <c r="F403" t="s">
        <v>7</v>
      </c>
      <c r="G403">
        <v>8083.9197999999997</v>
      </c>
      <c r="H403">
        <v>126.3</v>
      </c>
      <c r="I403" t="s">
        <v>0</v>
      </c>
      <c r="J403" t="b">
        <v>1</v>
      </c>
      <c r="K403" t="s">
        <v>15</v>
      </c>
      <c r="L403">
        <v>155044.74</v>
      </c>
      <c r="M403" t="str" cm="1">
        <f t="array" ref="M403">_xlfn.IFS(A403&lt;30,"Young",A403&lt;=50,"Adult",A403&gt;50,"Senior")</f>
        <v>Adult</v>
      </c>
    </row>
    <row r="404" spans="1:13" x14ac:dyDescent="0.3">
      <c r="A404">
        <v>64</v>
      </c>
      <c r="B404" t="s">
        <v>11</v>
      </c>
      <c r="C404">
        <v>32.965000000000003</v>
      </c>
      <c r="D404">
        <v>0</v>
      </c>
      <c r="E404" t="s">
        <v>19</v>
      </c>
      <c r="F404" t="s">
        <v>8</v>
      </c>
      <c r="G404">
        <v>14692.66935</v>
      </c>
      <c r="H404">
        <v>117.3</v>
      </c>
      <c r="I404" t="s">
        <v>3</v>
      </c>
      <c r="J404" t="b">
        <v>0</v>
      </c>
      <c r="K404" t="s">
        <v>14</v>
      </c>
      <c r="L404">
        <v>158104.26999999999</v>
      </c>
      <c r="M404" t="str" cm="1">
        <f t="array" ref="M404">_xlfn.IFS(A404&lt;30,"Young",A404&lt;=50,"Adult",A404&gt;50,"Senior")</f>
        <v>Senior</v>
      </c>
    </row>
    <row r="405" spans="1:13" x14ac:dyDescent="0.3">
      <c r="A405">
        <v>49</v>
      </c>
      <c r="B405" t="s">
        <v>12</v>
      </c>
      <c r="C405">
        <v>32.299999999999997</v>
      </c>
      <c r="D405">
        <v>3</v>
      </c>
      <c r="E405" t="s">
        <v>19</v>
      </c>
      <c r="F405" t="s">
        <v>8</v>
      </c>
      <c r="G405">
        <v>10269.459999999999</v>
      </c>
      <c r="H405">
        <v>131.80000000000001</v>
      </c>
      <c r="I405" t="s">
        <v>1</v>
      </c>
      <c r="J405" t="b">
        <v>1</v>
      </c>
      <c r="K405" t="s">
        <v>14</v>
      </c>
      <c r="L405">
        <v>194037.85</v>
      </c>
      <c r="M405" t="str" cm="1">
        <f t="array" ref="M405">_xlfn.IFS(A405&lt;30,"Young",A405&lt;=50,"Adult",A405&gt;50,"Senior")</f>
        <v>Adult</v>
      </c>
    </row>
    <row r="406" spans="1:13" x14ac:dyDescent="0.3">
      <c r="A406">
        <v>31</v>
      </c>
      <c r="B406" t="s">
        <v>12</v>
      </c>
      <c r="C406">
        <v>20.399999999999999</v>
      </c>
      <c r="D406">
        <v>0</v>
      </c>
      <c r="E406" t="s">
        <v>19</v>
      </c>
      <c r="F406" t="s">
        <v>6</v>
      </c>
      <c r="G406">
        <v>3260.1990000000001</v>
      </c>
      <c r="H406">
        <v>126.9</v>
      </c>
      <c r="I406" t="s">
        <v>0</v>
      </c>
      <c r="J406" t="b">
        <v>0</v>
      </c>
      <c r="K406" t="s">
        <v>16</v>
      </c>
      <c r="L406">
        <v>134681.70000000001</v>
      </c>
      <c r="M406" t="str" cm="1">
        <f t="array" ref="M406">_xlfn.IFS(A406&lt;30,"Young",A406&lt;=50,"Adult",A406&gt;50,"Senior")</f>
        <v>Adult</v>
      </c>
    </row>
    <row r="407" spans="1:13" x14ac:dyDescent="0.3">
      <c r="A407">
        <v>52</v>
      </c>
      <c r="B407" t="s">
        <v>11</v>
      </c>
      <c r="C407">
        <v>38.380000000000003</v>
      </c>
      <c r="D407">
        <v>2</v>
      </c>
      <c r="E407" t="s">
        <v>19</v>
      </c>
      <c r="F407" t="s">
        <v>9</v>
      </c>
      <c r="G407">
        <v>11396.9002</v>
      </c>
      <c r="H407">
        <v>118.6</v>
      </c>
      <c r="I407" t="s">
        <v>1</v>
      </c>
      <c r="J407" t="b">
        <v>0</v>
      </c>
      <c r="K407" t="s">
        <v>16</v>
      </c>
      <c r="L407">
        <v>46246.33</v>
      </c>
      <c r="M407" t="str" cm="1">
        <f t="array" ref="M407">_xlfn.IFS(A407&lt;30,"Young",A407&lt;=50,"Adult",A407&gt;50,"Senior")</f>
        <v>Senior</v>
      </c>
    </row>
    <row r="408" spans="1:13" x14ac:dyDescent="0.3">
      <c r="A408">
        <v>33</v>
      </c>
      <c r="B408" t="s">
        <v>11</v>
      </c>
      <c r="C408">
        <v>24.31</v>
      </c>
      <c r="D408">
        <v>0</v>
      </c>
      <c r="E408" t="s">
        <v>19</v>
      </c>
      <c r="F408" t="s">
        <v>7</v>
      </c>
      <c r="G408">
        <v>4185.0978999999998</v>
      </c>
      <c r="H408">
        <v>117.2</v>
      </c>
      <c r="I408" t="s">
        <v>3</v>
      </c>
      <c r="J408" t="b">
        <v>0</v>
      </c>
      <c r="K408" t="s">
        <v>16</v>
      </c>
      <c r="L408">
        <v>180214.17</v>
      </c>
      <c r="M408" t="str" cm="1">
        <f t="array" ref="M408">_xlfn.IFS(A408&lt;30,"Young",A408&lt;=50,"Adult",A408&gt;50,"Senior")</f>
        <v>Adult</v>
      </c>
    </row>
    <row r="409" spans="1:13" x14ac:dyDescent="0.3">
      <c r="A409">
        <v>47</v>
      </c>
      <c r="B409" t="s">
        <v>11</v>
      </c>
      <c r="C409">
        <v>23.6</v>
      </c>
      <c r="D409">
        <v>1</v>
      </c>
      <c r="E409" t="s">
        <v>19</v>
      </c>
      <c r="F409" t="s">
        <v>6</v>
      </c>
      <c r="G409">
        <v>8539.6710000000003</v>
      </c>
      <c r="H409">
        <v>128.69999999999999</v>
      </c>
      <c r="I409" t="s">
        <v>3</v>
      </c>
      <c r="J409" t="b">
        <v>1</v>
      </c>
      <c r="K409" t="s">
        <v>16</v>
      </c>
      <c r="L409">
        <v>98891.53</v>
      </c>
      <c r="M409" t="str" cm="1">
        <f t="array" ref="M409">_xlfn.IFS(A409&lt;30,"Young",A409&lt;=50,"Adult",A409&gt;50,"Senior")</f>
        <v>Adult</v>
      </c>
    </row>
    <row r="410" spans="1:13" x14ac:dyDescent="0.3">
      <c r="A410">
        <v>38</v>
      </c>
      <c r="B410" t="s">
        <v>12</v>
      </c>
      <c r="C410">
        <v>21.12</v>
      </c>
      <c r="D410">
        <v>3</v>
      </c>
      <c r="E410" t="s">
        <v>19</v>
      </c>
      <c r="F410" t="s">
        <v>7</v>
      </c>
      <c r="G410">
        <v>6652.5288</v>
      </c>
      <c r="H410">
        <v>128.4</v>
      </c>
      <c r="I410" t="s">
        <v>0</v>
      </c>
      <c r="J410" t="b">
        <v>1</v>
      </c>
      <c r="K410" t="s">
        <v>14</v>
      </c>
      <c r="L410">
        <v>32808.980000000003</v>
      </c>
      <c r="M410" t="str" cm="1">
        <f t="array" ref="M410">_xlfn.IFS(A410&lt;30,"Young",A410&lt;=50,"Adult",A410&gt;50,"Senior")</f>
        <v>Adult</v>
      </c>
    </row>
    <row r="411" spans="1:13" x14ac:dyDescent="0.3">
      <c r="A411">
        <v>32</v>
      </c>
      <c r="B411" t="s">
        <v>12</v>
      </c>
      <c r="C411">
        <v>30.03</v>
      </c>
      <c r="D411">
        <v>1</v>
      </c>
      <c r="E411" t="s">
        <v>19</v>
      </c>
      <c r="F411" t="s">
        <v>7</v>
      </c>
      <c r="G411">
        <v>4074.4537</v>
      </c>
      <c r="H411">
        <v>133</v>
      </c>
      <c r="I411" t="s">
        <v>2</v>
      </c>
      <c r="J411" t="b">
        <v>0</v>
      </c>
      <c r="K411" t="s">
        <v>16</v>
      </c>
      <c r="L411">
        <v>150990.99</v>
      </c>
      <c r="M411" t="str" cm="1">
        <f t="array" ref="M411">_xlfn.IFS(A411&lt;30,"Young",A411&lt;=50,"Adult",A411&gt;50,"Senior")</f>
        <v>Adult</v>
      </c>
    </row>
    <row r="412" spans="1:13" x14ac:dyDescent="0.3">
      <c r="A412">
        <v>19</v>
      </c>
      <c r="B412" t="s">
        <v>12</v>
      </c>
      <c r="C412">
        <v>17.48</v>
      </c>
      <c r="D412">
        <v>0</v>
      </c>
      <c r="E412" t="s">
        <v>19</v>
      </c>
      <c r="F412" t="s">
        <v>8</v>
      </c>
      <c r="G412">
        <v>1621.3402000000001</v>
      </c>
      <c r="H412">
        <v>139.30000000000001</v>
      </c>
      <c r="I412" t="s">
        <v>2</v>
      </c>
      <c r="J412" t="b">
        <v>0</v>
      </c>
      <c r="K412" t="s">
        <v>16</v>
      </c>
      <c r="L412">
        <v>150529.5</v>
      </c>
      <c r="M412" t="str" cm="1">
        <f t="array" ref="M412">_xlfn.IFS(A412&lt;30,"Young",A412&lt;=50,"Adult",A412&gt;50,"Senior")</f>
        <v>Young</v>
      </c>
    </row>
    <row r="413" spans="1:13" x14ac:dyDescent="0.3">
      <c r="A413">
        <v>44</v>
      </c>
      <c r="B413" t="s">
        <v>11</v>
      </c>
      <c r="C413">
        <v>20.234999999999999</v>
      </c>
      <c r="D413">
        <v>1</v>
      </c>
      <c r="E413" t="s">
        <v>18</v>
      </c>
      <c r="F413" t="s">
        <v>9</v>
      </c>
      <c r="G413">
        <v>19594.809649999999</v>
      </c>
      <c r="H413">
        <v>111</v>
      </c>
      <c r="I413" t="s">
        <v>2</v>
      </c>
      <c r="J413" t="b">
        <v>0</v>
      </c>
      <c r="K413" t="s">
        <v>15</v>
      </c>
      <c r="L413">
        <v>163060.54</v>
      </c>
      <c r="M413" t="str" cm="1">
        <f t="array" ref="M413">_xlfn.IFS(A413&lt;30,"Young",A413&lt;=50,"Adult",A413&gt;50,"Senior")</f>
        <v>Adult</v>
      </c>
    </row>
    <row r="414" spans="1:13" x14ac:dyDescent="0.3">
      <c r="A414">
        <v>26</v>
      </c>
      <c r="B414" t="s">
        <v>11</v>
      </c>
      <c r="C414">
        <v>17.195</v>
      </c>
      <c r="D414">
        <v>2</v>
      </c>
      <c r="E414" t="s">
        <v>18</v>
      </c>
      <c r="F414" t="s">
        <v>9</v>
      </c>
      <c r="G414">
        <v>14455.644050000001</v>
      </c>
      <c r="H414">
        <v>134.4</v>
      </c>
      <c r="I414" t="s">
        <v>3</v>
      </c>
      <c r="J414" t="b">
        <v>1</v>
      </c>
      <c r="K414" t="s">
        <v>16</v>
      </c>
      <c r="L414">
        <v>106883.39</v>
      </c>
      <c r="M414" t="str" cm="1">
        <f t="array" ref="M414">_xlfn.IFS(A414&lt;30,"Young",A414&lt;=50,"Adult",A414&gt;50,"Senior")</f>
        <v>Young</v>
      </c>
    </row>
    <row r="415" spans="1:13" x14ac:dyDescent="0.3">
      <c r="A415">
        <v>25</v>
      </c>
      <c r="B415" t="s">
        <v>12</v>
      </c>
      <c r="C415">
        <v>23.9</v>
      </c>
      <c r="D415">
        <v>5</v>
      </c>
      <c r="E415" t="s">
        <v>19</v>
      </c>
      <c r="F415" t="s">
        <v>6</v>
      </c>
      <c r="G415">
        <v>5080.0959999999995</v>
      </c>
      <c r="H415">
        <v>119.4</v>
      </c>
      <c r="I415" t="s">
        <v>3</v>
      </c>
      <c r="J415" t="b">
        <v>1</v>
      </c>
      <c r="K415" t="s">
        <v>16</v>
      </c>
      <c r="L415">
        <v>109839.91</v>
      </c>
      <c r="M415" t="str" cm="1">
        <f t="array" ref="M415">_xlfn.IFS(A415&lt;30,"Young",A415&lt;=50,"Adult",A415&gt;50,"Senior")</f>
        <v>Young</v>
      </c>
    </row>
    <row r="416" spans="1:13" x14ac:dyDescent="0.3">
      <c r="A416">
        <v>19</v>
      </c>
      <c r="B416" t="s">
        <v>11</v>
      </c>
      <c r="C416">
        <v>35.15</v>
      </c>
      <c r="D416">
        <v>0</v>
      </c>
      <c r="E416" t="s">
        <v>19</v>
      </c>
      <c r="F416" t="s">
        <v>8</v>
      </c>
      <c r="G416">
        <v>2134.9014999999999</v>
      </c>
      <c r="H416">
        <v>114</v>
      </c>
      <c r="I416" t="s">
        <v>2</v>
      </c>
      <c r="J416" t="b">
        <v>0</v>
      </c>
      <c r="K416" t="s">
        <v>14</v>
      </c>
      <c r="L416">
        <v>75991.320000000007</v>
      </c>
      <c r="M416" t="str" cm="1">
        <f t="array" ref="M416">_xlfn.IFS(A416&lt;30,"Young",A416&lt;=50,"Adult",A416&gt;50,"Senior")</f>
        <v>Young</v>
      </c>
    </row>
    <row r="417" spans="1:13" x14ac:dyDescent="0.3">
      <c r="A417">
        <v>43</v>
      </c>
      <c r="B417" t="s">
        <v>11</v>
      </c>
      <c r="C417">
        <v>35.64</v>
      </c>
      <c r="D417">
        <v>1</v>
      </c>
      <c r="E417" t="s">
        <v>19</v>
      </c>
      <c r="F417" t="s">
        <v>7</v>
      </c>
      <c r="G417">
        <v>7345.7266</v>
      </c>
      <c r="H417">
        <v>110.9</v>
      </c>
      <c r="I417" t="s">
        <v>3</v>
      </c>
      <c r="J417" t="b">
        <v>0</v>
      </c>
      <c r="K417" t="s">
        <v>15</v>
      </c>
      <c r="L417">
        <v>52946.84</v>
      </c>
      <c r="M417" t="str" cm="1">
        <f t="array" ref="M417">_xlfn.IFS(A417&lt;30,"Young",A417&lt;=50,"Adult",A417&gt;50,"Senior")</f>
        <v>Adult</v>
      </c>
    </row>
    <row r="418" spans="1:13" x14ac:dyDescent="0.3">
      <c r="A418">
        <v>52</v>
      </c>
      <c r="B418" t="s">
        <v>12</v>
      </c>
      <c r="C418">
        <v>34.1</v>
      </c>
      <c r="D418">
        <v>0</v>
      </c>
      <c r="E418" t="s">
        <v>19</v>
      </c>
      <c r="F418" t="s">
        <v>7</v>
      </c>
      <c r="G418">
        <v>9140.9509999999991</v>
      </c>
      <c r="H418">
        <v>137.19999999999999</v>
      </c>
      <c r="I418" t="s">
        <v>2</v>
      </c>
      <c r="J418" t="b">
        <v>0</v>
      </c>
      <c r="K418" t="s">
        <v>15</v>
      </c>
      <c r="L418">
        <v>109390.18</v>
      </c>
      <c r="M418" t="str" cm="1">
        <f t="array" ref="M418">_xlfn.IFS(A418&lt;30,"Young",A418&lt;=50,"Adult",A418&gt;50,"Senior")</f>
        <v>Senior</v>
      </c>
    </row>
    <row r="419" spans="1:13" x14ac:dyDescent="0.3">
      <c r="A419">
        <v>36</v>
      </c>
      <c r="B419" t="s">
        <v>11</v>
      </c>
      <c r="C419">
        <v>22.6</v>
      </c>
      <c r="D419">
        <v>2</v>
      </c>
      <c r="E419" t="s">
        <v>18</v>
      </c>
      <c r="F419" t="s">
        <v>6</v>
      </c>
      <c r="G419">
        <v>18608.261999999999</v>
      </c>
      <c r="H419">
        <v>118.8</v>
      </c>
      <c r="I419" t="s">
        <v>2</v>
      </c>
      <c r="J419" t="b">
        <v>0</v>
      </c>
      <c r="K419" t="s">
        <v>14</v>
      </c>
      <c r="L419">
        <v>120695.91</v>
      </c>
      <c r="M419" t="str" cm="1">
        <f t="array" ref="M419">_xlfn.IFS(A419&lt;30,"Young",A419&lt;=50,"Adult",A419&gt;50,"Senior")</f>
        <v>Adult</v>
      </c>
    </row>
    <row r="420" spans="1:13" x14ac:dyDescent="0.3">
      <c r="A420">
        <v>64</v>
      </c>
      <c r="B420" t="s">
        <v>12</v>
      </c>
      <c r="C420">
        <v>39.159999999999997</v>
      </c>
      <c r="D420">
        <v>1</v>
      </c>
      <c r="E420" t="s">
        <v>19</v>
      </c>
      <c r="F420" t="s">
        <v>7</v>
      </c>
      <c r="G420">
        <v>14418.2804</v>
      </c>
      <c r="H420">
        <v>115.2</v>
      </c>
      <c r="I420" t="s">
        <v>3</v>
      </c>
      <c r="J420" t="b">
        <v>1</v>
      </c>
      <c r="K420" t="s">
        <v>14</v>
      </c>
      <c r="L420">
        <v>77421.009999999995</v>
      </c>
      <c r="M420" t="str" cm="1">
        <f t="array" ref="M420">_xlfn.IFS(A420&lt;30,"Young",A420&lt;=50,"Adult",A420&gt;50,"Senior")</f>
        <v>Senior</v>
      </c>
    </row>
    <row r="421" spans="1:13" x14ac:dyDescent="0.3">
      <c r="A421">
        <v>63</v>
      </c>
      <c r="B421" t="s">
        <v>11</v>
      </c>
      <c r="C421">
        <v>26.98</v>
      </c>
      <c r="D421">
        <v>0</v>
      </c>
      <c r="E421" t="s">
        <v>18</v>
      </c>
      <c r="F421" t="s">
        <v>8</v>
      </c>
      <c r="G421">
        <v>28950.4692</v>
      </c>
      <c r="H421">
        <v>132</v>
      </c>
      <c r="I421" t="s">
        <v>2</v>
      </c>
      <c r="J421" t="b">
        <v>1</v>
      </c>
      <c r="K421" t="s">
        <v>14</v>
      </c>
      <c r="L421">
        <v>168065.35</v>
      </c>
      <c r="M421" t="str" cm="1">
        <f t="array" ref="M421">_xlfn.IFS(A421&lt;30,"Young",A421&lt;=50,"Adult",A421&gt;50,"Senior")</f>
        <v>Senior</v>
      </c>
    </row>
    <row r="422" spans="1:13" x14ac:dyDescent="0.3">
      <c r="A422">
        <v>64</v>
      </c>
      <c r="B422" t="s">
        <v>12</v>
      </c>
      <c r="C422">
        <v>33.880000000000003</v>
      </c>
      <c r="D422">
        <v>0</v>
      </c>
      <c r="E422" t="s">
        <v>18</v>
      </c>
      <c r="F422" t="s">
        <v>7</v>
      </c>
      <c r="G422">
        <v>46889.261200000001</v>
      </c>
      <c r="H422">
        <v>127.2</v>
      </c>
      <c r="I422" t="s">
        <v>1</v>
      </c>
      <c r="J422" t="b">
        <v>1</v>
      </c>
      <c r="K422" t="s">
        <v>15</v>
      </c>
      <c r="L422">
        <v>39146.480000000003</v>
      </c>
      <c r="M422" t="str" cm="1">
        <f t="array" ref="M422">_xlfn.IFS(A422&lt;30,"Young",A422&lt;=50,"Adult",A422&gt;50,"Senior")</f>
        <v>Senior</v>
      </c>
    </row>
    <row r="423" spans="1:13" x14ac:dyDescent="0.3">
      <c r="A423">
        <v>61</v>
      </c>
      <c r="B423" t="s">
        <v>12</v>
      </c>
      <c r="C423">
        <v>35.86</v>
      </c>
      <c r="D423">
        <v>0</v>
      </c>
      <c r="E423" t="s">
        <v>18</v>
      </c>
      <c r="F423" t="s">
        <v>7</v>
      </c>
      <c r="G423">
        <v>46599.108399999997</v>
      </c>
      <c r="H423">
        <v>127.4</v>
      </c>
      <c r="I423" t="s">
        <v>1</v>
      </c>
      <c r="J423" t="b">
        <v>0</v>
      </c>
      <c r="K423" t="s">
        <v>16</v>
      </c>
      <c r="L423">
        <v>164524.87</v>
      </c>
      <c r="M423" t="str" cm="1">
        <f t="array" ref="M423">_xlfn.IFS(A423&lt;30,"Young",A423&lt;=50,"Adult",A423&gt;50,"Senior")</f>
        <v>Senior</v>
      </c>
    </row>
    <row r="424" spans="1:13" x14ac:dyDescent="0.3">
      <c r="A424">
        <v>40</v>
      </c>
      <c r="B424" t="s">
        <v>12</v>
      </c>
      <c r="C424">
        <v>32.774999999999999</v>
      </c>
      <c r="D424">
        <v>1</v>
      </c>
      <c r="E424" t="s">
        <v>18</v>
      </c>
      <c r="F424" t="s">
        <v>9</v>
      </c>
      <c r="G424">
        <v>39125.332249999999</v>
      </c>
      <c r="H424">
        <v>134.1</v>
      </c>
      <c r="I424" t="s">
        <v>1</v>
      </c>
      <c r="J424" t="b">
        <v>0</v>
      </c>
      <c r="K424" t="s">
        <v>16</v>
      </c>
      <c r="L424">
        <v>47260.49</v>
      </c>
      <c r="M424" t="str" cm="1">
        <f t="array" ref="M424">_xlfn.IFS(A424&lt;30,"Young",A424&lt;=50,"Adult",A424&gt;50,"Senior")</f>
        <v>Adult</v>
      </c>
    </row>
    <row r="425" spans="1:13" x14ac:dyDescent="0.3">
      <c r="A425">
        <v>25</v>
      </c>
      <c r="B425" t="s">
        <v>12</v>
      </c>
      <c r="C425">
        <v>30.59</v>
      </c>
      <c r="D425">
        <v>0</v>
      </c>
      <c r="E425" t="s">
        <v>19</v>
      </c>
      <c r="F425" t="s">
        <v>9</v>
      </c>
      <c r="G425">
        <v>2727.3951000000002</v>
      </c>
      <c r="H425">
        <v>137.1</v>
      </c>
      <c r="I425" t="s">
        <v>3</v>
      </c>
      <c r="J425" t="b">
        <v>1</v>
      </c>
      <c r="K425" t="s">
        <v>16</v>
      </c>
      <c r="L425">
        <v>138112.82</v>
      </c>
      <c r="M425" t="str" cm="1">
        <f t="array" ref="M425">_xlfn.IFS(A425&lt;30,"Young",A425&lt;=50,"Adult",A425&gt;50,"Senior")</f>
        <v>Young</v>
      </c>
    </row>
    <row r="426" spans="1:13" x14ac:dyDescent="0.3">
      <c r="A426">
        <v>48</v>
      </c>
      <c r="B426" t="s">
        <v>12</v>
      </c>
      <c r="C426">
        <v>30.2</v>
      </c>
      <c r="D426">
        <v>2</v>
      </c>
      <c r="E426" t="s">
        <v>19</v>
      </c>
      <c r="F426" t="s">
        <v>6</v>
      </c>
      <c r="G426">
        <v>8968.33</v>
      </c>
      <c r="H426">
        <v>137.5</v>
      </c>
      <c r="I426" t="s">
        <v>0</v>
      </c>
      <c r="J426" t="b">
        <v>1</v>
      </c>
      <c r="K426" t="s">
        <v>15</v>
      </c>
      <c r="L426">
        <v>165581.01</v>
      </c>
      <c r="M426" t="str" cm="1">
        <f t="array" ref="M426">_xlfn.IFS(A426&lt;30,"Young",A426&lt;=50,"Adult",A426&gt;50,"Senior")</f>
        <v>Adult</v>
      </c>
    </row>
    <row r="427" spans="1:13" x14ac:dyDescent="0.3">
      <c r="A427">
        <v>45</v>
      </c>
      <c r="B427" t="s">
        <v>12</v>
      </c>
      <c r="C427">
        <v>24.31</v>
      </c>
      <c r="D427">
        <v>5</v>
      </c>
      <c r="E427" t="s">
        <v>19</v>
      </c>
      <c r="F427" t="s">
        <v>7</v>
      </c>
      <c r="G427">
        <v>9788.8659000000007</v>
      </c>
      <c r="H427">
        <v>135.6</v>
      </c>
      <c r="I427" t="s">
        <v>1</v>
      </c>
      <c r="J427" t="b">
        <v>1</v>
      </c>
      <c r="K427" t="s">
        <v>14</v>
      </c>
      <c r="L427">
        <v>83680.240000000005</v>
      </c>
      <c r="M427" t="str" cm="1">
        <f t="array" ref="M427">_xlfn.IFS(A427&lt;30,"Young",A427&lt;=50,"Adult",A427&gt;50,"Senior")</f>
        <v>Adult</v>
      </c>
    </row>
    <row r="428" spans="1:13" x14ac:dyDescent="0.3">
      <c r="A428">
        <v>38</v>
      </c>
      <c r="B428" t="s">
        <v>11</v>
      </c>
      <c r="C428">
        <v>27.265000000000001</v>
      </c>
      <c r="D428">
        <v>1</v>
      </c>
      <c r="E428" t="s">
        <v>19</v>
      </c>
      <c r="F428" t="s">
        <v>9</v>
      </c>
      <c r="G428">
        <v>6555.07035</v>
      </c>
      <c r="H428">
        <v>130</v>
      </c>
      <c r="I428" t="s">
        <v>3</v>
      </c>
      <c r="J428" t="b">
        <v>1</v>
      </c>
      <c r="K428" t="s">
        <v>14</v>
      </c>
      <c r="L428">
        <v>130623.84</v>
      </c>
      <c r="M428" t="str" cm="1">
        <f t="array" ref="M428">_xlfn.IFS(A428&lt;30,"Young",A428&lt;=50,"Adult",A428&gt;50,"Senior")</f>
        <v>Adult</v>
      </c>
    </row>
    <row r="429" spans="1:13" x14ac:dyDescent="0.3">
      <c r="A429">
        <v>18</v>
      </c>
      <c r="B429" t="s">
        <v>11</v>
      </c>
      <c r="C429">
        <v>29.164999999999999</v>
      </c>
      <c r="D429">
        <v>0</v>
      </c>
      <c r="E429" t="s">
        <v>19</v>
      </c>
      <c r="F429" t="s">
        <v>9</v>
      </c>
      <c r="G429">
        <v>7323.7348190000002</v>
      </c>
      <c r="H429">
        <v>115.6</v>
      </c>
      <c r="I429" t="s">
        <v>2</v>
      </c>
      <c r="J429" t="b">
        <v>1</v>
      </c>
      <c r="K429" t="s">
        <v>14</v>
      </c>
      <c r="L429">
        <v>81352.3</v>
      </c>
      <c r="M429" t="str" cm="1">
        <f t="array" ref="M429">_xlfn.IFS(A429&lt;30,"Young",A429&lt;=50,"Adult",A429&gt;50,"Senior")</f>
        <v>Young</v>
      </c>
    </row>
    <row r="430" spans="1:13" x14ac:dyDescent="0.3">
      <c r="A430">
        <v>21</v>
      </c>
      <c r="B430" t="s">
        <v>11</v>
      </c>
      <c r="C430">
        <v>16.815000000000001</v>
      </c>
      <c r="D430">
        <v>1</v>
      </c>
      <c r="E430" t="s">
        <v>19</v>
      </c>
      <c r="F430" t="s">
        <v>9</v>
      </c>
      <c r="G430">
        <v>3167.4558499999998</v>
      </c>
      <c r="H430">
        <v>135.9</v>
      </c>
      <c r="I430" t="s">
        <v>1</v>
      </c>
      <c r="J430" t="b">
        <v>1</v>
      </c>
      <c r="K430" t="s">
        <v>16</v>
      </c>
      <c r="L430">
        <v>118734.77</v>
      </c>
      <c r="M430" t="str" cm="1">
        <f t="array" ref="M430">_xlfn.IFS(A430&lt;30,"Young",A430&lt;=50,"Adult",A430&gt;50,"Senior")</f>
        <v>Young</v>
      </c>
    </row>
    <row r="431" spans="1:13" x14ac:dyDescent="0.3">
      <c r="A431">
        <v>27</v>
      </c>
      <c r="B431" t="s">
        <v>11</v>
      </c>
      <c r="C431">
        <v>30.4</v>
      </c>
      <c r="D431">
        <v>3</v>
      </c>
      <c r="E431" t="s">
        <v>19</v>
      </c>
      <c r="F431" t="s">
        <v>8</v>
      </c>
      <c r="G431">
        <v>18804.752400000001</v>
      </c>
      <c r="H431">
        <v>110.6</v>
      </c>
      <c r="I431" t="s">
        <v>1</v>
      </c>
      <c r="J431" t="b">
        <v>1</v>
      </c>
      <c r="K431" t="s">
        <v>14</v>
      </c>
      <c r="L431">
        <v>171607.12</v>
      </c>
      <c r="M431" t="str" cm="1">
        <f t="array" ref="M431">_xlfn.IFS(A431&lt;30,"Young",A431&lt;=50,"Adult",A431&gt;50,"Senior")</f>
        <v>Young</v>
      </c>
    </row>
    <row r="432" spans="1:13" x14ac:dyDescent="0.3">
      <c r="A432">
        <v>19</v>
      </c>
      <c r="B432" t="s">
        <v>12</v>
      </c>
      <c r="C432">
        <v>33.1</v>
      </c>
      <c r="D432">
        <v>0</v>
      </c>
      <c r="E432" t="s">
        <v>19</v>
      </c>
      <c r="F432" t="s">
        <v>6</v>
      </c>
      <c r="G432">
        <v>23082.955330000001</v>
      </c>
      <c r="H432">
        <v>130.1</v>
      </c>
      <c r="I432" t="s">
        <v>0</v>
      </c>
      <c r="J432" t="b">
        <v>1</v>
      </c>
      <c r="K432" t="s">
        <v>14</v>
      </c>
      <c r="L432">
        <v>46681.95</v>
      </c>
      <c r="M432" t="str" cm="1">
        <f t="array" ref="M432">_xlfn.IFS(A432&lt;30,"Young",A432&lt;=50,"Adult",A432&gt;50,"Senior")</f>
        <v>Young</v>
      </c>
    </row>
    <row r="433" spans="1:13" x14ac:dyDescent="0.3">
      <c r="A433">
        <v>29</v>
      </c>
      <c r="B433" t="s">
        <v>11</v>
      </c>
      <c r="C433">
        <v>20.234999999999999</v>
      </c>
      <c r="D433">
        <v>2</v>
      </c>
      <c r="E433" t="s">
        <v>19</v>
      </c>
      <c r="F433" t="s">
        <v>8</v>
      </c>
      <c r="G433">
        <v>4906.4096499999996</v>
      </c>
      <c r="H433">
        <v>130.80000000000001</v>
      </c>
      <c r="I433" t="s">
        <v>1</v>
      </c>
      <c r="J433" t="b">
        <v>1</v>
      </c>
      <c r="K433" t="s">
        <v>15</v>
      </c>
      <c r="L433">
        <v>199966.14</v>
      </c>
      <c r="M433" t="str" cm="1">
        <f t="array" ref="M433">_xlfn.IFS(A433&lt;30,"Young",A433&lt;=50,"Adult",A433&gt;50,"Senior")</f>
        <v>Young</v>
      </c>
    </row>
    <row r="434" spans="1:13" x14ac:dyDescent="0.3">
      <c r="A434">
        <v>42</v>
      </c>
      <c r="B434" t="s">
        <v>12</v>
      </c>
      <c r="C434">
        <v>26.9</v>
      </c>
      <c r="D434">
        <v>0</v>
      </c>
      <c r="E434" t="s">
        <v>19</v>
      </c>
      <c r="F434" t="s">
        <v>6</v>
      </c>
      <c r="G434">
        <v>5969.723</v>
      </c>
      <c r="H434">
        <v>122.1</v>
      </c>
      <c r="I434" t="s">
        <v>1</v>
      </c>
      <c r="J434" t="b">
        <v>0</v>
      </c>
      <c r="K434" t="s">
        <v>14</v>
      </c>
      <c r="L434">
        <v>54314.400000000001</v>
      </c>
      <c r="M434" t="str" cm="1">
        <f t="array" ref="M434">_xlfn.IFS(A434&lt;30,"Young",A434&lt;=50,"Adult",A434&gt;50,"Senior")</f>
        <v>Adult</v>
      </c>
    </row>
    <row r="435" spans="1:13" x14ac:dyDescent="0.3">
      <c r="A435">
        <v>60</v>
      </c>
      <c r="B435" t="s">
        <v>11</v>
      </c>
      <c r="C435">
        <v>30.5</v>
      </c>
      <c r="D435">
        <v>0</v>
      </c>
      <c r="E435" t="s">
        <v>19</v>
      </c>
      <c r="F435" t="s">
        <v>6</v>
      </c>
      <c r="G435">
        <v>12638.195</v>
      </c>
      <c r="H435">
        <v>124</v>
      </c>
      <c r="I435" t="s">
        <v>2</v>
      </c>
      <c r="J435" t="b">
        <v>1</v>
      </c>
      <c r="K435" t="s">
        <v>14</v>
      </c>
      <c r="L435">
        <v>163451.34</v>
      </c>
      <c r="M435" t="str" cm="1">
        <f t="array" ref="M435">_xlfn.IFS(A435&lt;30,"Young",A435&lt;=50,"Adult",A435&gt;50,"Senior")</f>
        <v>Senior</v>
      </c>
    </row>
    <row r="436" spans="1:13" x14ac:dyDescent="0.3">
      <c r="A436">
        <v>31</v>
      </c>
      <c r="B436" t="s">
        <v>12</v>
      </c>
      <c r="C436">
        <v>28.594999999999999</v>
      </c>
      <c r="D436">
        <v>1</v>
      </c>
      <c r="E436" t="s">
        <v>19</v>
      </c>
      <c r="F436" t="s">
        <v>8</v>
      </c>
      <c r="G436">
        <v>4243.5900499999998</v>
      </c>
      <c r="H436">
        <v>129.30000000000001</v>
      </c>
      <c r="I436" t="s">
        <v>0</v>
      </c>
      <c r="J436" t="b">
        <v>1</v>
      </c>
      <c r="K436" t="s">
        <v>15</v>
      </c>
      <c r="L436">
        <v>47672.13</v>
      </c>
      <c r="M436" t="str" cm="1">
        <f t="array" ref="M436">_xlfn.IFS(A436&lt;30,"Young",A436&lt;=50,"Adult",A436&gt;50,"Senior")</f>
        <v>Adult</v>
      </c>
    </row>
    <row r="437" spans="1:13" x14ac:dyDescent="0.3">
      <c r="A437">
        <v>60</v>
      </c>
      <c r="B437" t="s">
        <v>12</v>
      </c>
      <c r="C437">
        <v>33.11</v>
      </c>
      <c r="D437">
        <v>3</v>
      </c>
      <c r="E437" t="s">
        <v>19</v>
      </c>
      <c r="F437" t="s">
        <v>7</v>
      </c>
      <c r="G437">
        <v>13919.822899999999</v>
      </c>
      <c r="H437">
        <v>125.2</v>
      </c>
      <c r="I437" t="s">
        <v>0</v>
      </c>
      <c r="J437" t="b">
        <v>1</v>
      </c>
      <c r="K437" t="s">
        <v>16</v>
      </c>
      <c r="L437">
        <v>192413.28</v>
      </c>
      <c r="M437" t="str" cm="1">
        <f t="array" ref="M437">_xlfn.IFS(A437&lt;30,"Young",A437&lt;=50,"Adult",A437&gt;50,"Senior")</f>
        <v>Senior</v>
      </c>
    </row>
    <row r="438" spans="1:13" x14ac:dyDescent="0.3">
      <c r="A438">
        <v>22</v>
      </c>
      <c r="B438" t="s">
        <v>12</v>
      </c>
      <c r="C438">
        <v>31.73</v>
      </c>
      <c r="D438">
        <v>0</v>
      </c>
      <c r="E438" t="s">
        <v>19</v>
      </c>
      <c r="F438" t="s">
        <v>9</v>
      </c>
      <c r="G438">
        <v>2254.7966999999999</v>
      </c>
      <c r="H438">
        <v>117.3</v>
      </c>
      <c r="I438" t="s">
        <v>0</v>
      </c>
      <c r="J438" t="b">
        <v>0</v>
      </c>
      <c r="K438" t="s">
        <v>15</v>
      </c>
      <c r="L438">
        <v>82774.880000000005</v>
      </c>
      <c r="M438" t="str" cm="1">
        <f t="array" ref="M438">_xlfn.IFS(A438&lt;30,"Young",A438&lt;=50,"Adult",A438&gt;50,"Senior")</f>
        <v>Young</v>
      </c>
    </row>
    <row r="439" spans="1:13" x14ac:dyDescent="0.3">
      <c r="A439">
        <v>35</v>
      </c>
      <c r="B439" t="s">
        <v>12</v>
      </c>
      <c r="C439">
        <v>28.9</v>
      </c>
      <c r="D439">
        <v>3</v>
      </c>
      <c r="E439" t="s">
        <v>19</v>
      </c>
      <c r="F439" t="s">
        <v>6</v>
      </c>
      <c r="G439">
        <v>5926.8459999999995</v>
      </c>
      <c r="H439">
        <v>139.80000000000001</v>
      </c>
      <c r="I439" t="s">
        <v>3</v>
      </c>
      <c r="J439" t="b">
        <v>1</v>
      </c>
      <c r="K439" t="s">
        <v>15</v>
      </c>
      <c r="L439">
        <v>114223.29</v>
      </c>
      <c r="M439" t="str" cm="1">
        <f t="array" ref="M439">_xlfn.IFS(A439&lt;30,"Young",A439&lt;=50,"Adult",A439&gt;50,"Senior")</f>
        <v>Adult</v>
      </c>
    </row>
    <row r="440" spans="1:13" x14ac:dyDescent="0.3">
      <c r="A440">
        <v>52</v>
      </c>
      <c r="B440" t="s">
        <v>11</v>
      </c>
      <c r="C440">
        <v>46.75</v>
      </c>
      <c r="D440">
        <v>5</v>
      </c>
      <c r="E440" t="s">
        <v>19</v>
      </c>
      <c r="F440" t="s">
        <v>7</v>
      </c>
      <c r="G440">
        <v>12592.5345</v>
      </c>
      <c r="H440">
        <v>122.4</v>
      </c>
      <c r="I440" t="s">
        <v>2</v>
      </c>
      <c r="J440" t="b">
        <v>1</v>
      </c>
      <c r="K440" t="s">
        <v>14</v>
      </c>
      <c r="L440">
        <v>183777.67</v>
      </c>
      <c r="M440" t="str" cm="1">
        <f t="array" ref="M440">_xlfn.IFS(A440&lt;30,"Young",A440&lt;=50,"Adult",A440&gt;50,"Senior")</f>
        <v>Senior</v>
      </c>
    </row>
    <row r="441" spans="1:13" x14ac:dyDescent="0.3">
      <c r="A441">
        <v>26</v>
      </c>
      <c r="B441" t="s">
        <v>12</v>
      </c>
      <c r="C441">
        <v>29.45</v>
      </c>
      <c r="D441">
        <v>0</v>
      </c>
      <c r="E441" t="s">
        <v>19</v>
      </c>
      <c r="F441" t="s">
        <v>9</v>
      </c>
      <c r="G441">
        <v>2897.3235</v>
      </c>
      <c r="H441">
        <v>128.19999999999999</v>
      </c>
      <c r="I441" t="s">
        <v>1</v>
      </c>
      <c r="J441" t="b">
        <v>1</v>
      </c>
      <c r="K441" t="s">
        <v>14</v>
      </c>
      <c r="L441">
        <v>196231.77</v>
      </c>
      <c r="M441" t="str" cm="1">
        <f t="array" ref="M441">_xlfn.IFS(A441&lt;30,"Young",A441&lt;=50,"Adult",A441&gt;50,"Senior")</f>
        <v>Young</v>
      </c>
    </row>
    <row r="442" spans="1:13" x14ac:dyDescent="0.3">
      <c r="A442">
        <v>31</v>
      </c>
      <c r="B442" t="s">
        <v>11</v>
      </c>
      <c r="C442">
        <v>32.68</v>
      </c>
      <c r="D442">
        <v>1</v>
      </c>
      <c r="E442" t="s">
        <v>19</v>
      </c>
      <c r="F442" t="s">
        <v>8</v>
      </c>
      <c r="G442">
        <v>4738.2682000000004</v>
      </c>
      <c r="H442">
        <v>130.80000000000001</v>
      </c>
      <c r="I442" t="s">
        <v>0</v>
      </c>
      <c r="J442" t="b">
        <v>1</v>
      </c>
      <c r="K442" t="s">
        <v>16</v>
      </c>
      <c r="L442">
        <v>53125.61</v>
      </c>
      <c r="M442" t="str" cm="1">
        <f t="array" ref="M442">_xlfn.IFS(A442&lt;30,"Young",A442&lt;=50,"Adult",A442&gt;50,"Senior")</f>
        <v>Adult</v>
      </c>
    </row>
    <row r="443" spans="1:13" x14ac:dyDescent="0.3">
      <c r="A443">
        <v>33</v>
      </c>
      <c r="B443" t="s">
        <v>11</v>
      </c>
      <c r="C443">
        <v>33.5</v>
      </c>
      <c r="D443">
        <v>0</v>
      </c>
      <c r="E443" t="s">
        <v>18</v>
      </c>
      <c r="F443" t="s">
        <v>6</v>
      </c>
      <c r="G443">
        <v>37079.372000000003</v>
      </c>
      <c r="H443">
        <v>116</v>
      </c>
      <c r="I443" t="s">
        <v>2</v>
      </c>
      <c r="J443" t="b">
        <v>0</v>
      </c>
      <c r="K443" t="s">
        <v>16</v>
      </c>
      <c r="L443">
        <v>185486.79</v>
      </c>
      <c r="M443" t="str" cm="1">
        <f t="array" ref="M443">_xlfn.IFS(A443&lt;30,"Young",A443&lt;=50,"Adult",A443&gt;50,"Senior")</f>
        <v>Adult</v>
      </c>
    </row>
    <row r="444" spans="1:13" x14ac:dyDescent="0.3">
      <c r="A444">
        <v>18</v>
      </c>
      <c r="B444" t="s">
        <v>12</v>
      </c>
      <c r="C444">
        <v>43.01</v>
      </c>
      <c r="D444">
        <v>0</v>
      </c>
      <c r="E444" t="s">
        <v>19</v>
      </c>
      <c r="F444" t="s">
        <v>7</v>
      </c>
      <c r="G444">
        <v>1149.3959</v>
      </c>
      <c r="H444">
        <v>133.9</v>
      </c>
      <c r="I444" t="s">
        <v>2</v>
      </c>
      <c r="J444" t="b">
        <v>0</v>
      </c>
      <c r="K444" t="s">
        <v>15</v>
      </c>
      <c r="L444">
        <v>137217.54</v>
      </c>
      <c r="M444" t="str" cm="1">
        <f t="array" ref="M444">_xlfn.IFS(A444&lt;30,"Young",A444&lt;=50,"Adult",A444&gt;50,"Senior")</f>
        <v>Young</v>
      </c>
    </row>
    <row r="445" spans="1:13" x14ac:dyDescent="0.3">
      <c r="A445">
        <v>59</v>
      </c>
      <c r="B445" t="s">
        <v>11</v>
      </c>
      <c r="C445">
        <v>36.520000000000003</v>
      </c>
      <c r="D445">
        <v>1</v>
      </c>
      <c r="E445" t="s">
        <v>19</v>
      </c>
      <c r="F445" t="s">
        <v>7</v>
      </c>
      <c r="G445">
        <v>28287.897659999999</v>
      </c>
      <c r="H445">
        <v>115.2</v>
      </c>
      <c r="I445" t="s">
        <v>1</v>
      </c>
      <c r="J445" t="b">
        <v>0</v>
      </c>
      <c r="K445" t="s">
        <v>15</v>
      </c>
      <c r="L445">
        <v>65313.1</v>
      </c>
      <c r="M445" t="str" cm="1">
        <f t="array" ref="M445">_xlfn.IFS(A445&lt;30,"Young",A445&lt;=50,"Adult",A445&gt;50,"Senior")</f>
        <v>Senior</v>
      </c>
    </row>
    <row r="446" spans="1:13" x14ac:dyDescent="0.3">
      <c r="A446">
        <v>56</v>
      </c>
      <c r="B446" t="s">
        <v>12</v>
      </c>
      <c r="C446">
        <v>26.695</v>
      </c>
      <c r="D446">
        <v>1</v>
      </c>
      <c r="E446" t="s">
        <v>18</v>
      </c>
      <c r="F446" t="s">
        <v>8</v>
      </c>
      <c r="G446">
        <v>26109.32905</v>
      </c>
      <c r="H446">
        <v>123.2</v>
      </c>
      <c r="I446" t="s">
        <v>1</v>
      </c>
      <c r="J446" t="b">
        <v>1</v>
      </c>
      <c r="K446" t="s">
        <v>15</v>
      </c>
      <c r="L446">
        <v>118623.56</v>
      </c>
      <c r="M446" t="str" cm="1">
        <f t="array" ref="M446">_xlfn.IFS(A446&lt;30,"Young",A446&lt;=50,"Adult",A446&gt;50,"Senior")</f>
        <v>Senior</v>
      </c>
    </row>
    <row r="447" spans="1:13" x14ac:dyDescent="0.3">
      <c r="A447">
        <v>45</v>
      </c>
      <c r="B447" t="s">
        <v>11</v>
      </c>
      <c r="C447">
        <v>33.1</v>
      </c>
      <c r="D447">
        <v>0</v>
      </c>
      <c r="E447" t="s">
        <v>19</v>
      </c>
      <c r="F447" t="s">
        <v>6</v>
      </c>
      <c r="G447">
        <v>7345.0839999999998</v>
      </c>
      <c r="H447">
        <v>110.7</v>
      </c>
      <c r="I447" t="s">
        <v>0</v>
      </c>
      <c r="J447" t="b">
        <v>1</v>
      </c>
      <c r="K447" t="s">
        <v>14</v>
      </c>
      <c r="L447">
        <v>31148.41</v>
      </c>
      <c r="M447" t="str" cm="1">
        <f t="array" ref="M447">_xlfn.IFS(A447&lt;30,"Young",A447&lt;=50,"Adult",A447&gt;50,"Senior")</f>
        <v>Adult</v>
      </c>
    </row>
    <row r="448" spans="1:13" x14ac:dyDescent="0.3">
      <c r="A448">
        <v>60</v>
      </c>
      <c r="B448" t="s">
        <v>12</v>
      </c>
      <c r="C448">
        <v>29.64</v>
      </c>
      <c r="D448">
        <v>0</v>
      </c>
      <c r="E448" t="s">
        <v>19</v>
      </c>
      <c r="F448" t="s">
        <v>9</v>
      </c>
      <c r="G448">
        <v>12730.999599999999</v>
      </c>
      <c r="H448">
        <v>113.7</v>
      </c>
      <c r="I448" t="s">
        <v>2</v>
      </c>
      <c r="J448" t="b">
        <v>1</v>
      </c>
      <c r="K448" t="s">
        <v>15</v>
      </c>
      <c r="L448">
        <v>66475.97</v>
      </c>
      <c r="M448" t="str" cm="1">
        <f t="array" ref="M448">_xlfn.IFS(A448&lt;30,"Young",A448&lt;=50,"Adult",A448&gt;50,"Senior")</f>
        <v>Senior</v>
      </c>
    </row>
    <row r="449" spans="1:13" x14ac:dyDescent="0.3">
      <c r="A449">
        <v>56</v>
      </c>
      <c r="B449" t="s">
        <v>11</v>
      </c>
      <c r="C449">
        <v>25.65</v>
      </c>
      <c r="D449">
        <v>0</v>
      </c>
      <c r="E449" t="s">
        <v>19</v>
      </c>
      <c r="F449" t="s">
        <v>8</v>
      </c>
      <c r="G449">
        <v>11454.021500000001</v>
      </c>
      <c r="H449">
        <v>118</v>
      </c>
      <c r="I449" t="s">
        <v>3</v>
      </c>
      <c r="J449" t="b">
        <v>0</v>
      </c>
      <c r="K449" t="s">
        <v>15</v>
      </c>
      <c r="L449">
        <v>85696.42</v>
      </c>
      <c r="M449" t="str" cm="1">
        <f t="array" ref="M449">_xlfn.IFS(A449&lt;30,"Young",A449&lt;=50,"Adult",A449&gt;50,"Senior")</f>
        <v>Senior</v>
      </c>
    </row>
    <row r="450" spans="1:13" x14ac:dyDescent="0.3">
      <c r="A450">
        <v>40</v>
      </c>
      <c r="B450" t="s">
        <v>11</v>
      </c>
      <c r="C450">
        <v>29.6</v>
      </c>
      <c r="D450">
        <v>0</v>
      </c>
      <c r="E450" t="s">
        <v>19</v>
      </c>
      <c r="F450" t="s">
        <v>6</v>
      </c>
      <c r="G450">
        <v>5910.9440000000004</v>
      </c>
      <c r="H450">
        <v>125</v>
      </c>
      <c r="I450" t="s">
        <v>0</v>
      </c>
      <c r="J450" t="b">
        <v>0</v>
      </c>
      <c r="K450" t="s">
        <v>14</v>
      </c>
      <c r="L450">
        <v>131445.35999999999</v>
      </c>
      <c r="M450" t="str" cm="1">
        <f t="array" ref="M450">_xlfn.IFS(A450&lt;30,"Young",A450&lt;=50,"Adult",A450&gt;50,"Senior")</f>
        <v>Adult</v>
      </c>
    </row>
    <row r="451" spans="1:13" x14ac:dyDescent="0.3">
      <c r="A451">
        <v>35</v>
      </c>
      <c r="B451" t="s">
        <v>12</v>
      </c>
      <c r="C451">
        <v>38.6</v>
      </c>
      <c r="D451">
        <v>1</v>
      </c>
      <c r="E451" t="s">
        <v>19</v>
      </c>
      <c r="F451" t="s">
        <v>6</v>
      </c>
      <c r="G451">
        <v>4762.3289999999997</v>
      </c>
      <c r="H451">
        <v>134.4</v>
      </c>
      <c r="I451" t="s">
        <v>3</v>
      </c>
      <c r="J451" t="b">
        <v>0</v>
      </c>
      <c r="K451" t="s">
        <v>15</v>
      </c>
      <c r="L451">
        <v>142058.63</v>
      </c>
      <c r="M451" t="str" cm="1">
        <f t="array" ref="M451">_xlfn.IFS(A451&lt;30,"Young",A451&lt;=50,"Adult",A451&gt;50,"Senior")</f>
        <v>Adult</v>
      </c>
    </row>
    <row r="452" spans="1:13" x14ac:dyDescent="0.3">
      <c r="A452">
        <v>39</v>
      </c>
      <c r="B452" t="s">
        <v>12</v>
      </c>
      <c r="C452">
        <v>29.6</v>
      </c>
      <c r="D452">
        <v>4</v>
      </c>
      <c r="E452" t="s">
        <v>19</v>
      </c>
      <c r="F452" t="s">
        <v>6</v>
      </c>
      <c r="G452">
        <v>7512.2669999999998</v>
      </c>
      <c r="H452">
        <v>131.30000000000001</v>
      </c>
      <c r="I452" t="s">
        <v>1</v>
      </c>
      <c r="J452" t="b">
        <v>0</v>
      </c>
      <c r="K452" t="s">
        <v>14</v>
      </c>
      <c r="L452">
        <v>182487.28</v>
      </c>
      <c r="M452" t="str" cm="1">
        <f t="array" ref="M452">_xlfn.IFS(A452&lt;30,"Young",A452&lt;=50,"Adult",A452&gt;50,"Senior")</f>
        <v>Adult</v>
      </c>
    </row>
    <row r="453" spans="1:13" x14ac:dyDescent="0.3">
      <c r="A453">
        <v>30</v>
      </c>
      <c r="B453" t="s">
        <v>12</v>
      </c>
      <c r="C453">
        <v>24.13</v>
      </c>
      <c r="D453">
        <v>1</v>
      </c>
      <c r="E453" t="s">
        <v>19</v>
      </c>
      <c r="F453" t="s">
        <v>8</v>
      </c>
      <c r="G453">
        <v>4032.2406999999998</v>
      </c>
      <c r="H453">
        <v>120</v>
      </c>
      <c r="I453" t="s">
        <v>3</v>
      </c>
      <c r="J453" t="b">
        <v>1</v>
      </c>
      <c r="K453" t="s">
        <v>16</v>
      </c>
      <c r="L453">
        <v>54419.6</v>
      </c>
      <c r="M453" t="str" cm="1">
        <f t="array" ref="M453">_xlfn.IFS(A453&lt;30,"Young",A453&lt;=50,"Adult",A453&gt;50,"Senior")</f>
        <v>Adult</v>
      </c>
    </row>
    <row r="454" spans="1:13" x14ac:dyDescent="0.3">
      <c r="A454">
        <v>24</v>
      </c>
      <c r="B454" t="s">
        <v>12</v>
      </c>
      <c r="C454">
        <v>23.4</v>
      </c>
      <c r="D454">
        <v>0</v>
      </c>
      <c r="E454" t="s">
        <v>19</v>
      </c>
      <c r="F454" t="s">
        <v>6</v>
      </c>
      <c r="G454">
        <v>1969.614</v>
      </c>
      <c r="H454">
        <v>120.6</v>
      </c>
      <c r="I454" t="s">
        <v>0</v>
      </c>
      <c r="J454" t="b">
        <v>0</v>
      </c>
      <c r="K454" t="s">
        <v>15</v>
      </c>
      <c r="L454">
        <v>78340.88</v>
      </c>
      <c r="M454" t="str" cm="1">
        <f t="array" ref="M454">_xlfn.IFS(A454&lt;30,"Young",A454&lt;=50,"Adult",A454&gt;50,"Senior")</f>
        <v>Young</v>
      </c>
    </row>
    <row r="455" spans="1:13" x14ac:dyDescent="0.3">
      <c r="A455">
        <v>20</v>
      </c>
      <c r="B455" t="s">
        <v>12</v>
      </c>
      <c r="C455">
        <v>29.734999999999999</v>
      </c>
      <c r="D455">
        <v>0</v>
      </c>
      <c r="E455" t="s">
        <v>19</v>
      </c>
      <c r="F455" t="s">
        <v>8</v>
      </c>
      <c r="G455">
        <v>1769.5316499999999</v>
      </c>
      <c r="H455">
        <v>136.30000000000001</v>
      </c>
      <c r="I455" t="s">
        <v>1</v>
      </c>
      <c r="J455" t="b">
        <v>1</v>
      </c>
      <c r="K455" t="s">
        <v>15</v>
      </c>
      <c r="L455">
        <v>185759.84</v>
      </c>
      <c r="M455" t="str" cm="1">
        <f t="array" ref="M455">_xlfn.IFS(A455&lt;30,"Young",A455&lt;=50,"Adult",A455&gt;50,"Senior")</f>
        <v>Young</v>
      </c>
    </row>
    <row r="456" spans="1:13" x14ac:dyDescent="0.3">
      <c r="A456">
        <v>32</v>
      </c>
      <c r="B456" t="s">
        <v>12</v>
      </c>
      <c r="C456">
        <v>46.53</v>
      </c>
      <c r="D456">
        <v>2</v>
      </c>
      <c r="E456" t="s">
        <v>19</v>
      </c>
      <c r="F456" t="s">
        <v>7</v>
      </c>
      <c r="G456">
        <v>4686.3887000000004</v>
      </c>
      <c r="H456">
        <v>110.4</v>
      </c>
      <c r="I456" t="s">
        <v>3</v>
      </c>
      <c r="J456" t="b">
        <v>1</v>
      </c>
      <c r="K456" t="s">
        <v>16</v>
      </c>
      <c r="L456">
        <v>108512.76</v>
      </c>
      <c r="M456" t="str" cm="1">
        <f t="array" ref="M456">_xlfn.IFS(A456&lt;30,"Young",A456&lt;=50,"Adult",A456&gt;50,"Senior")</f>
        <v>Adult</v>
      </c>
    </row>
    <row r="457" spans="1:13" x14ac:dyDescent="0.3">
      <c r="A457">
        <v>59</v>
      </c>
      <c r="B457" t="s">
        <v>12</v>
      </c>
      <c r="C457">
        <v>37.4</v>
      </c>
      <c r="D457">
        <v>0</v>
      </c>
      <c r="E457" t="s">
        <v>19</v>
      </c>
      <c r="F457" t="s">
        <v>6</v>
      </c>
      <c r="G457">
        <v>21797.000400000001</v>
      </c>
      <c r="H457">
        <v>118.9</v>
      </c>
      <c r="I457" t="s">
        <v>1</v>
      </c>
      <c r="J457" t="b">
        <v>0</v>
      </c>
      <c r="K457" t="s">
        <v>16</v>
      </c>
      <c r="L457">
        <v>170714.71</v>
      </c>
      <c r="M457" t="str" cm="1">
        <f t="array" ref="M457">_xlfn.IFS(A457&lt;30,"Young",A457&lt;=50,"Adult",A457&gt;50,"Senior")</f>
        <v>Senior</v>
      </c>
    </row>
    <row r="458" spans="1:13" x14ac:dyDescent="0.3">
      <c r="A458">
        <v>55</v>
      </c>
      <c r="B458" t="s">
        <v>11</v>
      </c>
      <c r="C458">
        <v>30.14</v>
      </c>
      <c r="D458">
        <v>2</v>
      </c>
      <c r="E458" t="s">
        <v>19</v>
      </c>
      <c r="F458" t="s">
        <v>7</v>
      </c>
      <c r="G458">
        <v>11881.9696</v>
      </c>
      <c r="H458">
        <v>117.7</v>
      </c>
      <c r="I458" t="s">
        <v>3</v>
      </c>
      <c r="J458" t="b">
        <v>1</v>
      </c>
      <c r="K458" t="s">
        <v>14</v>
      </c>
      <c r="L458">
        <v>71796.179999999993</v>
      </c>
      <c r="M458" t="str" cm="1">
        <f t="array" ref="M458">_xlfn.IFS(A458&lt;30,"Young",A458&lt;=50,"Adult",A458&gt;50,"Senior")</f>
        <v>Senior</v>
      </c>
    </row>
    <row r="459" spans="1:13" x14ac:dyDescent="0.3">
      <c r="A459">
        <v>57</v>
      </c>
      <c r="B459" t="s">
        <v>11</v>
      </c>
      <c r="C459">
        <v>30.495000000000001</v>
      </c>
      <c r="D459">
        <v>0</v>
      </c>
      <c r="E459" t="s">
        <v>19</v>
      </c>
      <c r="F459" t="s">
        <v>8</v>
      </c>
      <c r="G459">
        <v>11840.77505</v>
      </c>
      <c r="H459">
        <v>118.7</v>
      </c>
      <c r="I459" t="s">
        <v>0</v>
      </c>
      <c r="J459" t="b">
        <v>0</v>
      </c>
      <c r="K459" t="s">
        <v>16</v>
      </c>
      <c r="L459">
        <v>199511.2</v>
      </c>
      <c r="M459" t="str" cm="1">
        <f t="array" ref="M459">_xlfn.IFS(A459&lt;30,"Young",A459&lt;=50,"Adult",A459&gt;50,"Senior")</f>
        <v>Senior</v>
      </c>
    </row>
    <row r="460" spans="1:13" x14ac:dyDescent="0.3">
      <c r="A460">
        <v>56</v>
      </c>
      <c r="B460" t="s">
        <v>12</v>
      </c>
      <c r="C460">
        <v>39.6</v>
      </c>
      <c r="D460">
        <v>0</v>
      </c>
      <c r="E460" t="s">
        <v>19</v>
      </c>
      <c r="F460" t="s">
        <v>6</v>
      </c>
      <c r="G460">
        <v>10601.412</v>
      </c>
      <c r="H460">
        <v>120.4</v>
      </c>
      <c r="I460" t="s">
        <v>2</v>
      </c>
      <c r="J460" t="b">
        <v>0</v>
      </c>
      <c r="K460" t="s">
        <v>15</v>
      </c>
      <c r="L460">
        <v>41373.15</v>
      </c>
      <c r="M460" t="str" cm="1">
        <f t="array" ref="M460">_xlfn.IFS(A460&lt;30,"Young",A460&lt;=50,"Adult",A460&gt;50,"Senior")</f>
        <v>Senior</v>
      </c>
    </row>
    <row r="461" spans="1:13" x14ac:dyDescent="0.3">
      <c r="A461">
        <v>40</v>
      </c>
      <c r="B461" t="s">
        <v>11</v>
      </c>
      <c r="C461">
        <v>33</v>
      </c>
      <c r="D461">
        <v>3</v>
      </c>
      <c r="E461" t="s">
        <v>19</v>
      </c>
      <c r="F461" t="s">
        <v>7</v>
      </c>
      <c r="G461">
        <v>7682.67</v>
      </c>
      <c r="H461">
        <v>125.2</v>
      </c>
      <c r="I461" t="s">
        <v>3</v>
      </c>
      <c r="J461" t="b">
        <v>0</v>
      </c>
      <c r="K461" t="s">
        <v>16</v>
      </c>
      <c r="L461">
        <v>117198.7</v>
      </c>
      <c r="M461" t="str" cm="1">
        <f t="array" ref="M461">_xlfn.IFS(A461&lt;30,"Young",A461&lt;=50,"Adult",A461&gt;50,"Senior")</f>
        <v>Adult</v>
      </c>
    </row>
    <row r="462" spans="1:13" x14ac:dyDescent="0.3">
      <c r="A462">
        <v>49</v>
      </c>
      <c r="B462" t="s">
        <v>11</v>
      </c>
      <c r="C462">
        <v>36.630000000000003</v>
      </c>
      <c r="D462">
        <v>3</v>
      </c>
      <c r="E462" t="s">
        <v>19</v>
      </c>
      <c r="F462" t="s">
        <v>7</v>
      </c>
      <c r="G462">
        <v>10381.4787</v>
      </c>
      <c r="H462">
        <v>133.80000000000001</v>
      </c>
      <c r="I462" t="s">
        <v>2</v>
      </c>
      <c r="J462" t="b">
        <v>1</v>
      </c>
      <c r="K462" t="s">
        <v>14</v>
      </c>
      <c r="L462">
        <v>155671.78</v>
      </c>
      <c r="M462" t="str" cm="1">
        <f t="array" ref="M462">_xlfn.IFS(A462&lt;30,"Young",A462&lt;=50,"Adult",A462&gt;50,"Senior")</f>
        <v>Adult</v>
      </c>
    </row>
    <row r="463" spans="1:13" x14ac:dyDescent="0.3">
      <c r="A463">
        <v>42</v>
      </c>
      <c r="B463" t="s">
        <v>12</v>
      </c>
      <c r="C463">
        <v>30</v>
      </c>
      <c r="D463">
        <v>0</v>
      </c>
      <c r="E463" t="s">
        <v>18</v>
      </c>
      <c r="F463" t="s">
        <v>6</v>
      </c>
      <c r="G463">
        <v>22144.031999999999</v>
      </c>
      <c r="H463">
        <v>123.2</v>
      </c>
      <c r="I463" t="s">
        <v>3</v>
      </c>
      <c r="J463" t="b">
        <v>1</v>
      </c>
      <c r="K463" t="s">
        <v>16</v>
      </c>
      <c r="L463">
        <v>180347.09</v>
      </c>
      <c r="M463" t="str" cm="1">
        <f t="array" ref="M463">_xlfn.IFS(A463&lt;30,"Young",A463&lt;=50,"Adult",A463&gt;50,"Senior")</f>
        <v>Adult</v>
      </c>
    </row>
    <row r="464" spans="1:13" x14ac:dyDescent="0.3">
      <c r="A464">
        <v>62</v>
      </c>
      <c r="B464" t="s">
        <v>11</v>
      </c>
      <c r="C464">
        <v>38.094999999999999</v>
      </c>
      <c r="D464">
        <v>2</v>
      </c>
      <c r="E464" t="s">
        <v>19</v>
      </c>
      <c r="F464" t="s">
        <v>9</v>
      </c>
      <c r="G464">
        <v>15230.324049999999</v>
      </c>
      <c r="H464">
        <v>125.9</v>
      </c>
      <c r="I464" t="s">
        <v>0</v>
      </c>
      <c r="J464" t="b">
        <v>1</v>
      </c>
      <c r="K464" t="s">
        <v>14</v>
      </c>
      <c r="L464">
        <v>146698.96</v>
      </c>
      <c r="M464" t="str" cm="1">
        <f t="array" ref="M464">_xlfn.IFS(A464&lt;30,"Young",A464&lt;=50,"Adult",A464&gt;50,"Senior")</f>
        <v>Senior</v>
      </c>
    </row>
    <row r="465" spans="1:13" x14ac:dyDescent="0.3">
      <c r="A465">
        <v>56</v>
      </c>
      <c r="B465" t="s">
        <v>12</v>
      </c>
      <c r="C465">
        <v>25.934999999999999</v>
      </c>
      <c r="D465">
        <v>0</v>
      </c>
      <c r="E465" t="s">
        <v>19</v>
      </c>
      <c r="F465" t="s">
        <v>9</v>
      </c>
      <c r="G465">
        <v>11165.417649999999</v>
      </c>
      <c r="H465">
        <v>110.6</v>
      </c>
      <c r="I465" t="s">
        <v>2</v>
      </c>
      <c r="J465" t="b">
        <v>1</v>
      </c>
      <c r="K465" t="s">
        <v>16</v>
      </c>
      <c r="L465">
        <v>126400.31</v>
      </c>
      <c r="M465" t="str" cm="1">
        <f t="array" ref="M465">_xlfn.IFS(A465&lt;30,"Young",A465&lt;=50,"Adult",A465&gt;50,"Senior")</f>
        <v>Senior</v>
      </c>
    </row>
    <row r="466" spans="1:13" x14ac:dyDescent="0.3">
      <c r="A466">
        <v>19</v>
      </c>
      <c r="B466" t="s">
        <v>12</v>
      </c>
      <c r="C466">
        <v>25.175000000000001</v>
      </c>
      <c r="D466">
        <v>0</v>
      </c>
      <c r="E466" t="s">
        <v>19</v>
      </c>
      <c r="F466" t="s">
        <v>8</v>
      </c>
      <c r="G466">
        <v>1632.0362500000001</v>
      </c>
      <c r="H466">
        <v>139.4</v>
      </c>
      <c r="I466" t="s">
        <v>2</v>
      </c>
      <c r="J466" t="b">
        <v>1</v>
      </c>
      <c r="K466" t="s">
        <v>16</v>
      </c>
      <c r="L466">
        <v>152338.62</v>
      </c>
      <c r="M466" t="str" cm="1">
        <f t="array" ref="M466">_xlfn.IFS(A466&lt;30,"Young",A466&lt;=50,"Adult",A466&gt;50,"Senior")</f>
        <v>Young</v>
      </c>
    </row>
    <row r="467" spans="1:13" x14ac:dyDescent="0.3">
      <c r="A467">
        <v>30</v>
      </c>
      <c r="B467" t="s">
        <v>11</v>
      </c>
      <c r="C467">
        <v>28.38</v>
      </c>
      <c r="D467">
        <v>1</v>
      </c>
      <c r="E467" t="s">
        <v>18</v>
      </c>
      <c r="F467" t="s">
        <v>7</v>
      </c>
      <c r="G467">
        <v>19521.968199999999</v>
      </c>
      <c r="H467">
        <v>110.8</v>
      </c>
      <c r="I467" t="s">
        <v>2</v>
      </c>
      <c r="J467" t="b">
        <v>0</v>
      </c>
      <c r="K467" t="s">
        <v>16</v>
      </c>
      <c r="L467">
        <v>109066.75</v>
      </c>
      <c r="M467" t="str" cm="1">
        <f t="array" ref="M467">_xlfn.IFS(A467&lt;30,"Young",A467&lt;=50,"Adult",A467&gt;50,"Senior")</f>
        <v>Adult</v>
      </c>
    </row>
    <row r="468" spans="1:13" x14ac:dyDescent="0.3">
      <c r="A468">
        <v>60</v>
      </c>
      <c r="B468" t="s">
        <v>11</v>
      </c>
      <c r="C468">
        <v>28.7</v>
      </c>
      <c r="D468">
        <v>1</v>
      </c>
      <c r="E468" t="s">
        <v>19</v>
      </c>
      <c r="F468" t="s">
        <v>6</v>
      </c>
      <c r="G468">
        <v>13224.692999999999</v>
      </c>
      <c r="H468">
        <v>116.8</v>
      </c>
      <c r="I468" t="s">
        <v>3</v>
      </c>
      <c r="J468" t="b">
        <v>1</v>
      </c>
      <c r="K468" t="s">
        <v>14</v>
      </c>
      <c r="L468">
        <v>124076.67</v>
      </c>
      <c r="M468" t="str" cm="1">
        <f t="array" ref="M468">_xlfn.IFS(A468&lt;30,"Young",A468&lt;=50,"Adult",A468&gt;50,"Senior")</f>
        <v>Senior</v>
      </c>
    </row>
    <row r="469" spans="1:13" x14ac:dyDescent="0.3">
      <c r="A469">
        <v>56</v>
      </c>
      <c r="B469" t="s">
        <v>11</v>
      </c>
      <c r="C469">
        <v>33.82</v>
      </c>
      <c r="D469">
        <v>2</v>
      </c>
      <c r="E469" t="s">
        <v>19</v>
      </c>
      <c r="F469" t="s">
        <v>8</v>
      </c>
      <c r="G469">
        <v>12643.3778</v>
      </c>
      <c r="H469">
        <v>121.6</v>
      </c>
      <c r="I469" t="s">
        <v>0</v>
      </c>
      <c r="J469" t="b">
        <v>1</v>
      </c>
      <c r="K469" t="s">
        <v>15</v>
      </c>
      <c r="L469">
        <v>34249.35</v>
      </c>
      <c r="M469" t="str" cm="1">
        <f t="array" ref="M469">_xlfn.IFS(A469&lt;30,"Young",A469&lt;=50,"Adult",A469&gt;50,"Senior")</f>
        <v>Senior</v>
      </c>
    </row>
    <row r="470" spans="1:13" x14ac:dyDescent="0.3">
      <c r="A470">
        <v>28</v>
      </c>
      <c r="B470" t="s">
        <v>11</v>
      </c>
      <c r="C470">
        <v>24.32</v>
      </c>
      <c r="D470">
        <v>1</v>
      </c>
      <c r="E470" t="s">
        <v>19</v>
      </c>
      <c r="F470" t="s">
        <v>9</v>
      </c>
      <c r="G470">
        <v>23288.928400000001</v>
      </c>
      <c r="H470">
        <v>124.9</v>
      </c>
      <c r="I470" t="s">
        <v>2</v>
      </c>
      <c r="J470" t="b">
        <v>0</v>
      </c>
      <c r="K470" t="s">
        <v>14</v>
      </c>
      <c r="L470">
        <v>198388.11</v>
      </c>
      <c r="M470" t="str" cm="1">
        <f t="array" ref="M470">_xlfn.IFS(A470&lt;30,"Young",A470&lt;=50,"Adult",A470&gt;50,"Senior")</f>
        <v>Young</v>
      </c>
    </row>
    <row r="471" spans="1:13" x14ac:dyDescent="0.3">
      <c r="A471">
        <v>18</v>
      </c>
      <c r="B471" t="s">
        <v>11</v>
      </c>
      <c r="C471">
        <v>24.09</v>
      </c>
      <c r="D471">
        <v>1</v>
      </c>
      <c r="E471" t="s">
        <v>19</v>
      </c>
      <c r="F471" t="s">
        <v>7</v>
      </c>
      <c r="G471">
        <v>2201.0971</v>
      </c>
      <c r="H471">
        <v>116.3</v>
      </c>
      <c r="I471" t="s">
        <v>0</v>
      </c>
      <c r="J471" t="b">
        <v>0</v>
      </c>
      <c r="K471" t="s">
        <v>14</v>
      </c>
      <c r="L471">
        <v>81466.789999999994</v>
      </c>
      <c r="M471" t="str" cm="1">
        <f t="array" ref="M471">_xlfn.IFS(A471&lt;30,"Young",A471&lt;=50,"Adult",A471&gt;50,"Senior")</f>
        <v>Young</v>
      </c>
    </row>
    <row r="472" spans="1:13" x14ac:dyDescent="0.3">
      <c r="A472">
        <v>27</v>
      </c>
      <c r="B472" t="s">
        <v>12</v>
      </c>
      <c r="C472">
        <v>32.67</v>
      </c>
      <c r="D472">
        <v>0</v>
      </c>
      <c r="E472" t="s">
        <v>19</v>
      </c>
      <c r="F472" t="s">
        <v>7</v>
      </c>
      <c r="G472">
        <v>2497.0383000000002</v>
      </c>
      <c r="H472">
        <v>119.7</v>
      </c>
      <c r="I472" t="s">
        <v>0</v>
      </c>
      <c r="J472" t="b">
        <v>1</v>
      </c>
      <c r="K472" t="s">
        <v>15</v>
      </c>
      <c r="L472">
        <v>176876.76</v>
      </c>
      <c r="M472" t="str" cm="1">
        <f t="array" ref="M472">_xlfn.IFS(A472&lt;30,"Young",A472&lt;=50,"Adult",A472&gt;50,"Senior")</f>
        <v>Young</v>
      </c>
    </row>
    <row r="473" spans="1:13" x14ac:dyDescent="0.3">
      <c r="A473">
        <v>18</v>
      </c>
      <c r="B473" t="s">
        <v>11</v>
      </c>
      <c r="C473">
        <v>30.114999999999998</v>
      </c>
      <c r="D473">
        <v>0</v>
      </c>
      <c r="E473" t="s">
        <v>19</v>
      </c>
      <c r="F473" t="s">
        <v>9</v>
      </c>
      <c r="G473">
        <v>2203.4718499999999</v>
      </c>
      <c r="H473">
        <v>131.80000000000001</v>
      </c>
      <c r="I473" t="s">
        <v>1</v>
      </c>
      <c r="J473" t="b">
        <v>0</v>
      </c>
      <c r="K473" t="s">
        <v>15</v>
      </c>
      <c r="L473">
        <v>160027.79</v>
      </c>
      <c r="M473" t="str" cm="1">
        <f t="array" ref="M473">_xlfn.IFS(A473&lt;30,"Young",A473&lt;=50,"Adult",A473&gt;50,"Senior")</f>
        <v>Young</v>
      </c>
    </row>
    <row r="474" spans="1:13" x14ac:dyDescent="0.3">
      <c r="A474">
        <v>19</v>
      </c>
      <c r="B474" t="s">
        <v>11</v>
      </c>
      <c r="C474">
        <v>29.8</v>
      </c>
      <c r="D474">
        <v>0</v>
      </c>
      <c r="E474" t="s">
        <v>19</v>
      </c>
      <c r="F474" t="s">
        <v>6</v>
      </c>
      <c r="G474">
        <v>1744.4649999999999</v>
      </c>
      <c r="H474">
        <v>123.9</v>
      </c>
      <c r="I474" t="s">
        <v>2</v>
      </c>
      <c r="J474" t="b">
        <v>0</v>
      </c>
      <c r="K474" t="s">
        <v>14</v>
      </c>
      <c r="L474">
        <v>66421.83</v>
      </c>
      <c r="M474" t="str" cm="1">
        <f t="array" ref="M474">_xlfn.IFS(A474&lt;30,"Young",A474&lt;=50,"Adult",A474&gt;50,"Senior")</f>
        <v>Young</v>
      </c>
    </row>
    <row r="475" spans="1:13" x14ac:dyDescent="0.3">
      <c r="A475">
        <v>47</v>
      </c>
      <c r="B475" t="s">
        <v>11</v>
      </c>
      <c r="C475">
        <v>33.344999999999999</v>
      </c>
      <c r="D475">
        <v>0</v>
      </c>
      <c r="E475" t="s">
        <v>19</v>
      </c>
      <c r="F475" t="s">
        <v>9</v>
      </c>
      <c r="G475">
        <v>20878.78443</v>
      </c>
      <c r="H475">
        <v>132.9</v>
      </c>
      <c r="I475" t="s">
        <v>1</v>
      </c>
      <c r="J475" t="b">
        <v>0</v>
      </c>
      <c r="K475" t="s">
        <v>16</v>
      </c>
      <c r="L475">
        <v>150984.04</v>
      </c>
      <c r="M475" t="str" cm="1">
        <f t="array" ref="M475">_xlfn.IFS(A475&lt;30,"Young",A475&lt;=50,"Adult",A475&gt;50,"Senior")</f>
        <v>Adult</v>
      </c>
    </row>
    <row r="476" spans="1:13" x14ac:dyDescent="0.3">
      <c r="A476">
        <v>54</v>
      </c>
      <c r="B476" t="s">
        <v>12</v>
      </c>
      <c r="C476">
        <v>25.1</v>
      </c>
      <c r="D476">
        <v>3</v>
      </c>
      <c r="E476" t="s">
        <v>18</v>
      </c>
      <c r="F476" t="s">
        <v>6</v>
      </c>
      <c r="G476">
        <v>25382.296999999999</v>
      </c>
      <c r="H476">
        <v>132.69999999999999</v>
      </c>
      <c r="I476" t="s">
        <v>0</v>
      </c>
      <c r="J476" t="b">
        <v>0</v>
      </c>
      <c r="K476" t="s">
        <v>16</v>
      </c>
      <c r="L476">
        <v>79209.47</v>
      </c>
      <c r="M476" t="str" cm="1">
        <f t="array" ref="M476">_xlfn.IFS(A476&lt;30,"Young",A476&lt;=50,"Adult",A476&gt;50,"Senior")</f>
        <v>Senior</v>
      </c>
    </row>
    <row r="477" spans="1:13" x14ac:dyDescent="0.3">
      <c r="A477">
        <v>61</v>
      </c>
      <c r="B477" t="s">
        <v>12</v>
      </c>
      <c r="C477">
        <v>28.31</v>
      </c>
      <c r="D477">
        <v>1</v>
      </c>
      <c r="E477" t="s">
        <v>18</v>
      </c>
      <c r="F477" t="s">
        <v>8</v>
      </c>
      <c r="G477">
        <v>28868.6639</v>
      </c>
      <c r="H477">
        <v>135.5</v>
      </c>
      <c r="I477" t="s">
        <v>1</v>
      </c>
      <c r="J477" t="b">
        <v>1</v>
      </c>
      <c r="K477" t="s">
        <v>14</v>
      </c>
      <c r="L477">
        <v>141582.6</v>
      </c>
      <c r="M477" t="str" cm="1">
        <f t="array" ref="M477">_xlfn.IFS(A477&lt;30,"Young",A477&lt;=50,"Adult",A477&gt;50,"Senior")</f>
        <v>Senior</v>
      </c>
    </row>
    <row r="478" spans="1:13" x14ac:dyDescent="0.3">
      <c r="A478">
        <v>24</v>
      </c>
      <c r="B478" t="s">
        <v>12</v>
      </c>
      <c r="C478">
        <v>28.5</v>
      </c>
      <c r="D478">
        <v>0</v>
      </c>
      <c r="E478" t="s">
        <v>18</v>
      </c>
      <c r="F478" t="s">
        <v>9</v>
      </c>
      <c r="G478">
        <v>35147.528480000001</v>
      </c>
      <c r="H478">
        <v>120.7</v>
      </c>
      <c r="I478" t="s">
        <v>0</v>
      </c>
      <c r="J478" t="b">
        <v>1</v>
      </c>
      <c r="K478" t="s">
        <v>16</v>
      </c>
      <c r="L478">
        <v>172105.78</v>
      </c>
      <c r="M478" t="str" cm="1">
        <f t="array" ref="M478">_xlfn.IFS(A478&lt;30,"Young",A478&lt;=50,"Adult",A478&gt;50,"Senior")</f>
        <v>Young</v>
      </c>
    </row>
    <row r="479" spans="1:13" x14ac:dyDescent="0.3">
      <c r="A479">
        <v>25</v>
      </c>
      <c r="B479" t="s">
        <v>12</v>
      </c>
      <c r="C479">
        <v>35.625</v>
      </c>
      <c r="D479">
        <v>0</v>
      </c>
      <c r="E479" t="s">
        <v>19</v>
      </c>
      <c r="F479" t="s">
        <v>8</v>
      </c>
      <c r="G479">
        <v>2534.3937500000002</v>
      </c>
      <c r="H479">
        <v>113.5</v>
      </c>
      <c r="I479" t="s">
        <v>3</v>
      </c>
      <c r="J479" t="b">
        <v>1</v>
      </c>
      <c r="K479" t="s">
        <v>16</v>
      </c>
      <c r="L479">
        <v>196184.81</v>
      </c>
      <c r="M479" t="str" cm="1">
        <f t="array" ref="M479">_xlfn.IFS(A479&lt;30,"Young",A479&lt;=50,"Adult",A479&gt;50,"Senior")</f>
        <v>Young</v>
      </c>
    </row>
    <row r="480" spans="1:13" x14ac:dyDescent="0.3">
      <c r="A480">
        <v>21</v>
      </c>
      <c r="B480" t="s">
        <v>12</v>
      </c>
      <c r="C480">
        <v>36.85</v>
      </c>
      <c r="D480">
        <v>0</v>
      </c>
      <c r="E480" t="s">
        <v>19</v>
      </c>
      <c r="F480" t="s">
        <v>7</v>
      </c>
      <c r="G480">
        <v>1534.3045</v>
      </c>
      <c r="H480">
        <v>117.6</v>
      </c>
      <c r="I480" t="s">
        <v>2</v>
      </c>
      <c r="J480" t="b">
        <v>0</v>
      </c>
      <c r="K480" t="s">
        <v>15</v>
      </c>
      <c r="L480">
        <v>129270.07</v>
      </c>
      <c r="M480" t="str" cm="1">
        <f t="array" ref="M480">_xlfn.IFS(A480&lt;30,"Young",A480&lt;=50,"Adult",A480&gt;50,"Senior")</f>
        <v>Young</v>
      </c>
    </row>
    <row r="481" spans="1:13" x14ac:dyDescent="0.3">
      <c r="A481">
        <v>23</v>
      </c>
      <c r="B481" t="s">
        <v>12</v>
      </c>
      <c r="C481">
        <v>32.56</v>
      </c>
      <c r="D481">
        <v>0</v>
      </c>
      <c r="E481" t="s">
        <v>19</v>
      </c>
      <c r="F481" t="s">
        <v>7</v>
      </c>
      <c r="G481">
        <v>1824.2854</v>
      </c>
      <c r="H481">
        <v>138</v>
      </c>
      <c r="I481" t="s">
        <v>1</v>
      </c>
      <c r="J481" t="b">
        <v>0</v>
      </c>
      <c r="K481" t="s">
        <v>15</v>
      </c>
      <c r="L481">
        <v>37118.1</v>
      </c>
      <c r="M481" t="str" cm="1">
        <f t="array" ref="M481">_xlfn.IFS(A481&lt;30,"Young",A481&lt;=50,"Adult",A481&gt;50,"Senior")</f>
        <v>Young</v>
      </c>
    </row>
    <row r="482" spans="1:13" x14ac:dyDescent="0.3">
      <c r="A482">
        <v>63</v>
      </c>
      <c r="B482" t="s">
        <v>12</v>
      </c>
      <c r="C482">
        <v>41.325000000000003</v>
      </c>
      <c r="D482">
        <v>3</v>
      </c>
      <c r="E482" t="s">
        <v>19</v>
      </c>
      <c r="F482" t="s">
        <v>8</v>
      </c>
      <c r="G482">
        <v>15555.188749999999</v>
      </c>
      <c r="H482">
        <v>127.2</v>
      </c>
      <c r="I482" t="s">
        <v>3</v>
      </c>
      <c r="J482" t="b">
        <v>0</v>
      </c>
      <c r="K482" t="s">
        <v>16</v>
      </c>
      <c r="L482">
        <v>121788.14</v>
      </c>
      <c r="M482" t="str" cm="1">
        <f t="array" ref="M482">_xlfn.IFS(A482&lt;30,"Young",A482&lt;=50,"Adult",A482&gt;50,"Senior")</f>
        <v>Senior</v>
      </c>
    </row>
    <row r="483" spans="1:13" x14ac:dyDescent="0.3">
      <c r="A483">
        <v>49</v>
      </c>
      <c r="B483" t="s">
        <v>12</v>
      </c>
      <c r="C483">
        <v>37.51</v>
      </c>
      <c r="D483">
        <v>2</v>
      </c>
      <c r="E483" t="s">
        <v>19</v>
      </c>
      <c r="F483" t="s">
        <v>7</v>
      </c>
      <c r="G483">
        <v>9304.7019</v>
      </c>
      <c r="H483">
        <v>123.6</v>
      </c>
      <c r="I483" t="s">
        <v>3</v>
      </c>
      <c r="J483" t="b">
        <v>0</v>
      </c>
      <c r="K483" t="s">
        <v>16</v>
      </c>
      <c r="L483">
        <v>162616.82999999999</v>
      </c>
      <c r="M483" t="str" cm="1">
        <f t="array" ref="M483">_xlfn.IFS(A483&lt;30,"Young",A483&lt;=50,"Adult",A483&gt;50,"Senior")</f>
        <v>Adult</v>
      </c>
    </row>
    <row r="484" spans="1:13" x14ac:dyDescent="0.3">
      <c r="A484">
        <v>18</v>
      </c>
      <c r="B484" t="s">
        <v>11</v>
      </c>
      <c r="C484">
        <v>31.35</v>
      </c>
      <c r="D484">
        <v>0</v>
      </c>
      <c r="E484" t="s">
        <v>19</v>
      </c>
      <c r="F484" t="s">
        <v>7</v>
      </c>
      <c r="G484">
        <v>1622.1885</v>
      </c>
      <c r="H484">
        <v>117.1</v>
      </c>
      <c r="I484" t="s">
        <v>2</v>
      </c>
      <c r="J484" t="b">
        <v>1</v>
      </c>
      <c r="K484" t="s">
        <v>14</v>
      </c>
      <c r="L484">
        <v>168798.46</v>
      </c>
      <c r="M484" t="str" cm="1">
        <f t="array" ref="M484">_xlfn.IFS(A484&lt;30,"Young",A484&lt;=50,"Adult",A484&gt;50,"Senior")</f>
        <v>Young</v>
      </c>
    </row>
    <row r="485" spans="1:13" x14ac:dyDescent="0.3">
      <c r="A485">
        <v>51</v>
      </c>
      <c r="B485" t="s">
        <v>11</v>
      </c>
      <c r="C485">
        <v>39.5</v>
      </c>
      <c r="D485">
        <v>1</v>
      </c>
      <c r="E485" t="s">
        <v>19</v>
      </c>
      <c r="F485" t="s">
        <v>6</v>
      </c>
      <c r="G485">
        <v>9880.0679999999993</v>
      </c>
      <c r="H485">
        <v>132.69999999999999</v>
      </c>
      <c r="I485" t="s">
        <v>0</v>
      </c>
      <c r="J485" t="b">
        <v>0</v>
      </c>
      <c r="K485" t="s">
        <v>15</v>
      </c>
      <c r="L485">
        <v>174257.92000000001</v>
      </c>
      <c r="M485" t="str" cm="1">
        <f t="array" ref="M485">_xlfn.IFS(A485&lt;30,"Young",A485&lt;=50,"Adult",A485&gt;50,"Senior")</f>
        <v>Senior</v>
      </c>
    </row>
    <row r="486" spans="1:13" x14ac:dyDescent="0.3">
      <c r="A486">
        <v>48</v>
      </c>
      <c r="B486" t="s">
        <v>12</v>
      </c>
      <c r="C486">
        <v>34.299999999999997</v>
      </c>
      <c r="D486">
        <v>3</v>
      </c>
      <c r="E486" t="s">
        <v>19</v>
      </c>
      <c r="F486" t="s">
        <v>6</v>
      </c>
      <c r="G486">
        <v>9563.0290000000005</v>
      </c>
      <c r="H486">
        <v>137.1</v>
      </c>
      <c r="I486" t="s">
        <v>2</v>
      </c>
      <c r="J486" t="b">
        <v>0</v>
      </c>
      <c r="K486" t="s">
        <v>16</v>
      </c>
      <c r="L486">
        <v>39675.69</v>
      </c>
      <c r="M486" t="str" cm="1">
        <f t="array" ref="M486">_xlfn.IFS(A486&lt;30,"Young",A486&lt;=50,"Adult",A486&gt;50,"Senior")</f>
        <v>Adult</v>
      </c>
    </row>
    <row r="487" spans="1:13" x14ac:dyDescent="0.3">
      <c r="A487">
        <v>31</v>
      </c>
      <c r="B487" t="s">
        <v>11</v>
      </c>
      <c r="C487">
        <v>31.065000000000001</v>
      </c>
      <c r="D487">
        <v>0</v>
      </c>
      <c r="E487" t="s">
        <v>19</v>
      </c>
      <c r="F487" t="s">
        <v>9</v>
      </c>
      <c r="G487">
        <v>4347.0233500000004</v>
      </c>
      <c r="H487">
        <v>128.80000000000001</v>
      </c>
      <c r="I487" t="s">
        <v>3</v>
      </c>
      <c r="J487" t="b">
        <v>1</v>
      </c>
      <c r="K487" t="s">
        <v>14</v>
      </c>
      <c r="L487">
        <v>198628.58</v>
      </c>
      <c r="M487" t="str" cm="1">
        <f t="array" ref="M487">_xlfn.IFS(A487&lt;30,"Young",A487&lt;=50,"Adult",A487&gt;50,"Senior")</f>
        <v>Adult</v>
      </c>
    </row>
    <row r="488" spans="1:13" x14ac:dyDescent="0.3">
      <c r="A488">
        <v>54</v>
      </c>
      <c r="B488" t="s">
        <v>11</v>
      </c>
      <c r="C488">
        <v>21.47</v>
      </c>
      <c r="D488">
        <v>3</v>
      </c>
      <c r="E488" t="s">
        <v>19</v>
      </c>
      <c r="F488" t="s">
        <v>8</v>
      </c>
      <c r="G488">
        <v>12475.3513</v>
      </c>
      <c r="H488">
        <v>134.5</v>
      </c>
      <c r="I488" t="s">
        <v>3</v>
      </c>
      <c r="J488" t="b">
        <v>0</v>
      </c>
      <c r="K488" t="s">
        <v>15</v>
      </c>
      <c r="L488">
        <v>77944.41</v>
      </c>
      <c r="M488" t="str" cm="1">
        <f t="array" ref="M488">_xlfn.IFS(A488&lt;30,"Young",A488&lt;=50,"Adult",A488&gt;50,"Senior")</f>
        <v>Senior</v>
      </c>
    </row>
    <row r="489" spans="1:13" x14ac:dyDescent="0.3">
      <c r="A489">
        <v>19</v>
      </c>
      <c r="B489" t="s">
        <v>12</v>
      </c>
      <c r="C489">
        <v>28.7</v>
      </c>
      <c r="D489">
        <v>0</v>
      </c>
      <c r="E489" t="s">
        <v>19</v>
      </c>
      <c r="F489" t="s">
        <v>6</v>
      </c>
      <c r="G489">
        <v>1253.9359999999999</v>
      </c>
      <c r="H489">
        <v>131.6</v>
      </c>
      <c r="I489" t="s">
        <v>0</v>
      </c>
      <c r="J489" t="b">
        <v>0</v>
      </c>
      <c r="K489" t="s">
        <v>15</v>
      </c>
      <c r="L489">
        <v>94175.94</v>
      </c>
      <c r="M489" t="str" cm="1">
        <f t="array" ref="M489">_xlfn.IFS(A489&lt;30,"Young",A489&lt;=50,"Adult",A489&gt;50,"Senior")</f>
        <v>Young</v>
      </c>
    </row>
    <row r="490" spans="1:13" x14ac:dyDescent="0.3">
      <c r="A490">
        <v>44</v>
      </c>
      <c r="B490" t="s">
        <v>11</v>
      </c>
      <c r="C490">
        <v>38.06</v>
      </c>
      <c r="D490">
        <v>0</v>
      </c>
      <c r="E490" t="s">
        <v>18</v>
      </c>
      <c r="F490" t="s">
        <v>7</v>
      </c>
      <c r="G490">
        <v>48885.135609999998</v>
      </c>
      <c r="H490">
        <v>138.6</v>
      </c>
      <c r="I490" t="s">
        <v>1</v>
      </c>
      <c r="J490" t="b">
        <v>1</v>
      </c>
      <c r="K490" t="s">
        <v>16</v>
      </c>
      <c r="L490">
        <v>176234.01</v>
      </c>
      <c r="M490" t="str" cm="1">
        <f t="array" ref="M490">_xlfn.IFS(A490&lt;30,"Young",A490&lt;=50,"Adult",A490&gt;50,"Senior")</f>
        <v>Adult</v>
      </c>
    </row>
    <row r="491" spans="1:13" x14ac:dyDescent="0.3">
      <c r="A491">
        <v>53</v>
      </c>
      <c r="B491" t="s">
        <v>12</v>
      </c>
      <c r="C491">
        <v>31.16</v>
      </c>
      <c r="D491">
        <v>1</v>
      </c>
      <c r="E491" t="s">
        <v>19</v>
      </c>
      <c r="F491" t="s">
        <v>8</v>
      </c>
      <c r="G491">
        <v>10461.9794</v>
      </c>
      <c r="H491">
        <v>126.3</v>
      </c>
      <c r="I491" t="s">
        <v>3</v>
      </c>
      <c r="J491" t="b">
        <v>0</v>
      </c>
      <c r="K491" t="s">
        <v>15</v>
      </c>
      <c r="L491">
        <v>56514.92</v>
      </c>
      <c r="M491" t="str" cm="1">
        <f t="array" ref="M491">_xlfn.IFS(A491&lt;30,"Young",A491&lt;=50,"Adult",A491&gt;50,"Senior")</f>
        <v>Senior</v>
      </c>
    </row>
    <row r="492" spans="1:13" x14ac:dyDescent="0.3">
      <c r="A492">
        <v>19</v>
      </c>
      <c r="B492" t="s">
        <v>11</v>
      </c>
      <c r="C492">
        <v>32.9</v>
      </c>
      <c r="D492">
        <v>0</v>
      </c>
      <c r="E492" t="s">
        <v>19</v>
      </c>
      <c r="F492" t="s">
        <v>6</v>
      </c>
      <c r="G492">
        <v>1748.7739999999999</v>
      </c>
      <c r="H492">
        <v>119</v>
      </c>
      <c r="I492" t="s">
        <v>2</v>
      </c>
      <c r="J492" t="b">
        <v>0</v>
      </c>
      <c r="K492" t="s">
        <v>14</v>
      </c>
      <c r="L492">
        <v>125064.56</v>
      </c>
      <c r="M492" t="str" cm="1">
        <f t="array" ref="M492">_xlfn.IFS(A492&lt;30,"Young",A492&lt;=50,"Adult",A492&gt;50,"Senior")</f>
        <v>Young</v>
      </c>
    </row>
    <row r="493" spans="1:13" x14ac:dyDescent="0.3">
      <c r="A493">
        <v>61</v>
      </c>
      <c r="B493" t="s">
        <v>11</v>
      </c>
      <c r="C493">
        <v>25.08</v>
      </c>
      <c r="D493">
        <v>0</v>
      </c>
      <c r="E493" t="s">
        <v>19</v>
      </c>
      <c r="F493" t="s">
        <v>7</v>
      </c>
      <c r="G493">
        <v>24513.091260000001</v>
      </c>
      <c r="H493">
        <v>124.9</v>
      </c>
      <c r="I493" t="s">
        <v>3</v>
      </c>
      <c r="J493" t="b">
        <v>0</v>
      </c>
      <c r="K493" t="s">
        <v>15</v>
      </c>
      <c r="L493">
        <v>100972.12</v>
      </c>
      <c r="M493" t="str" cm="1">
        <f t="array" ref="M493">_xlfn.IFS(A493&lt;30,"Young",A493&lt;=50,"Adult",A493&gt;50,"Senior")</f>
        <v>Senior</v>
      </c>
    </row>
    <row r="494" spans="1:13" x14ac:dyDescent="0.3">
      <c r="A494">
        <v>18</v>
      </c>
      <c r="B494" t="s">
        <v>11</v>
      </c>
      <c r="C494">
        <v>25.08</v>
      </c>
      <c r="D494">
        <v>0</v>
      </c>
      <c r="E494" t="s">
        <v>19</v>
      </c>
      <c r="F494" t="s">
        <v>9</v>
      </c>
      <c r="G494">
        <v>2196.4731999999999</v>
      </c>
      <c r="H494">
        <v>111.4</v>
      </c>
      <c r="I494" t="s">
        <v>2</v>
      </c>
      <c r="J494" t="b">
        <v>0</v>
      </c>
      <c r="K494" t="s">
        <v>14</v>
      </c>
      <c r="L494">
        <v>191434.91</v>
      </c>
      <c r="M494" t="str" cm="1">
        <f t="array" ref="M494">_xlfn.IFS(A494&lt;30,"Young",A494&lt;=50,"Adult",A494&gt;50,"Senior")</f>
        <v>Young</v>
      </c>
    </row>
    <row r="495" spans="1:13" x14ac:dyDescent="0.3">
      <c r="A495">
        <v>61</v>
      </c>
      <c r="B495" t="s">
        <v>12</v>
      </c>
      <c r="C495">
        <v>43.4</v>
      </c>
      <c r="D495">
        <v>0</v>
      </c>
      <c r="E495" t="s">
        <v>19</v>
      </c>
      <c r="F495" t="s">
        <v>6</v>
      </c>
      <c r="G495">
        <v>12574.049000000001</v>
      </c>
      <c r="H495">
        <v>129</v>
      </c>
      <c r="I495" t="s">
        <v>3</v>
      </c>
      <c r="J495" t="b">
        <v>1</v>
      </c>
      <c r="K495" t="s">
        <v>15</v>
      </c>
      <c r="L495">
        <v>128594.58</v>
      </c>
      <c r="M495" t="str" cm="1">
        <f t="array" ref="M495">_xlfn.IFS(A495&lt;30,"Young",A495&lt;=50,"Adult",A495&gt;50,"Senior")</f>
        <v>Senior</v>
      </c>
    </row>
    <row r="496" spans="1:13" x14ac:dyDescent="0.3">
      <c r="A496">
        <v>21</v>
      </c>
      <c r="B496" t="s">
        <v>12</v>
      </c>
      <c r="C496">
        <v>25.7</v>
      </c>
      <c r="D496">
        <v>4</v>
      </c>
      <c r="E496" t="s">
        <v>18</v>
      </c>
      <c r="F496" t="s">
        <v>6</v>
      </c>
      <c r="G496">
        <v>17942.106</v>
      </c>
      <c r="H496">
        <v>120.9</v>
      </c>
      <c r="I496" t="s">
        <v>2</v>
      </c>
      <c r="J496" t="b">
        <v>0</v>
      </c>
      <c r="K496" t="s">
        <v>16</v>
      </c>
      <c r="L496">
        <v>102066.21</v>
      </c>
      <c r="M496" t="str" cm="1">
        <f t="array" ref="M496">_xlfn.IFS(A496&lt;30,"Young",A496&lt;=50,"Adult",A496&gt;50,"Senior")</f>
        <v>Young</v>
      </c>
    </row>
    <row r="497" spans="1:13" x14ac:dyDescent="0.3">
      <c r="A497">
        <v>20</v>
      </c>
      <c r="B497" t="s">
        <v>12</v>
      </c>
      <c r="C497">
        <v>27.93</v>
      </c>
      <c r="D497">
        <v>0</v>
      </c>
      <c r="E497" t="s">
        <v>19</v>
      </c>
      <c r="F497" t="s">
        <v>9</v>
      </c>
      <c r="G497">
        <v>1967.0227</v>
      </c>
      <c r="H497">
        <v>129.69999999999999</v>
      </c>
      <c r="I497" t="s">
        <v>1</v>
      </c>
      <c r="J497" t="b">
        <v>0</v>
      </c>
      <c r="K497" t="s">
        <v>16</v>
      </c>
      <c r="L497">
        <v>140452.26</v>
      </c>
      <c r="M497" t="str" cm="1">
        <f t="array" ref="M497">_xlfn.IFS(A497&lt;30,"Young",A497&lt;=50,"Adult",A497&gt;50,"Senior")</f>
        <v>Young</v>
      </c>
    </row>
    <row r="498" spans="1:13" x14ac:dyDescent="0.3">
      <c r="A498">
        <v>31</v>
      </c>
      <c r="B498" t="s">
        <v>11</v>
      </c>
      <c r="C498">
        <v>23.6</v>
      </c>
      <c r="D498">
        <v>2</v>
      </c>
      <c r="E498" t="s">
        <v>19</v>
      </c>
      <c r="F498" t="s">
        <v>6</v>
      </c>
      <c r="G498">
        <v>4931.6469999999999</v>
      </c>
      <c r="H498">
        <v>127</v>
      </c>
      <c r="I498" t="s">
        <v>1</v>
      </c>
      <c r="J498" t="b">
        <v>1</v>
      </c>
      <c r="K498" t="s">
        <v>15</v>
      </c>
      <c r="L498">
        <v>110728.65</v>
      </c>
      <c r="M498" t="str" cm="1">
        <f t="array" ref="M498">_xlfn.IFS(A498&lt;30,"Young",A498&lt;=50,"Adult",A498&gt;50,"Senior")</f>
        <v>Adult</v>
      </c>
    </row>
    <row r="499" spans="1:13" x14ac:dyDescent="0.3">
      <c r="A499">
        <v>45</v>
      </c>
      <c r="B499" t="s">
        <v>12</v>
      </c>
      <c r="C499">
        <v>28.7</v>
      </c>
      <c r="D499">
        <v>2</v>
      </c>
      <c r="E499" t="s">
        <v>19</v>
      </c>
      <c r="F499" t="s">
        <v>6</v>
      </c>
      <c r="G499">
        <v>8027.9679999999998</v>
      </c>
      <c r="H499">
        <v>134.19999999999999</v>
      </c>
      <c r="I499" t="s">
        <v>0</v>
      </c>
      <c r="J499" t="b">
        <v>1</v>
      </c>
      <c r="K499" t="s">
        <v>15</v>
      </c>
      <c r="L499">
        <v>85855.39</v>
      </c>
      <c r="M499" t="str" cm="1">
        <f t="array" ref="M499">_xlfn.IFS(A499&lt;30,"Young",A499&lt;=50,"Adult",A499&gt;50,"Senior")</f>
        <v>Adult</v>
      </c>
    </row>
    <row r="500" spans="1:13" x14ac:dyDescent="0.3">
      <c r="A500">
        <v>44</v>
      </c>
      <c r="B500" t="s">
        <v>11</v>
      </c>
      <c r="C500">
        <v>23.98</v>
      </c>
      <c r="D500">
        <v>2</v>
      </c>
      <c r="E500" t="s">
        <v>19</v>
      </c>
      <c r="F500" t="s">
        <v>7</v>
      </c>
      <c r="G500">
        <v>8211.1002000000008</v>
      </c>
      <c r="H500">
        <v>134.1</v>
      </c>
      <c r="I500" t="s">
        <v>0</v>
      </c>
      <c r="J500" t="b">
        <v>1</v>
      </c>
      <c r="K500" t="s">
        <v>15</v>
      </c>
      <c r="L500">
        <v>101442.32</v>
      </c>
      <c r="M500" t="str" cm="1">
        <f t="array" ref="M500">_xlfn.IFS(A500&lt;30,"Young",A500&lt;=50,"Adult",A500&gt;50,"Senior")</f>
        <v>Adult</v>
      </c>
    </row>
    <row r="501" spans="1:13" x14ac:dyDescent="0.3">
      <c r="A501">
        <v>62</v>
      </c>
      <c r="B501" t="s">
        <v>11</v>
      </c>
      <c r="C501">
        <v>39.200000000000003</v>
      </c>
      <c r="D501">
        <v>0</v>
      </c>
      <c r="E501" t="s">
        <v>19</v>
      </c>
      <c r="F501" t="s">
        <v>6</v>
      </c>
      <c r="G501">
        <v>13470.86</v>
      </c>
      <c r="H501">
        <v>117.1</v>
      </c>
      <c r="I501" t="s">
        <v>3</v>
      </c>
      <c r="J501" t="b">
        <v>0</v>
      </c>
      <c r="K501" t="s">
        <v>16</v>
      </c>
      <c r="L501">
        <v>154292.70000000001</v>
      </c>
      <c r="M501" t="str" cm="1">
        <f t="array" ref="M501">_xlfn.IFS(A501&lt;30,"Young",A501&lt;=50,"Adult",A501&gt;50,"Senior")</f>
        <v>Senior</v>
      </c>
    </row>
    <row r="502" spans="1:13" x14ac:dyDescent="0.3">
      <c r="A502">
        <v>29</v>
      </c>
      <c r="B502" t="s">
        <v>12</v>
      </c>
      <c r="C502">
        <v>34.4</v>
      </c>
      <c r="D502">
        <v>0</v>
      </c>
      <c r="E502" t="s">
        <v>18</v>
      </c>
      <c r="F502" t="s">
        <v>6</v>
      </c>
      <c r="G502">
        <v>36197.699000000001</v>
      </c>
      <c r="H502">
        <v>113</v>
      </c>
      <c r="I502" t="s">
        <v>1</v>
      </c>
      <c r="J502" t="b">
        <v>0</v>
      </c>
      <c r="K502" t="s">
        <v>15</v>
      </c>
      <c r="L502">
        <v>64666.19</v>
      </c>
      <c r="M502" t="str" cm="1">
        <f t="array" ref="M502">_xlfn.IFS(A502&lt;30,"Young",A502&lt;=50,"Adult",A502&gt;50,"Senior")</f>
        <v>Young</v>
      </c>
    </row>
    <row r="503" spans="1:13" x14ac:dyDescent="0.3">
      <c r="A503">
        <v>43</v>
      </c>
      <c r="B503" t="s">
        <v>12</v>
      </c>
      <c r="C503">
        <v>26.03</v>
      </c>
      <c r="D503">
        <v>0</v>
      </c>
      <c r="E503" t="s">
        <v>19</v>
      </c>
      <c r="F503" t="s">
        <v>9</v>
      </c>
      <c r="G503">
        <v>6837.3687</v>
      </c>
      <c r="H503">
        <v>127.9</v>
      </c>
      <c r="I503" t="s">
        <v>3</v>
      </c>
      <c r="J503" t="b">
        <v>1</v>
      </c>
      <c r="K503" t="s">
        <v>15</v>
      </c>
      <c r="L503">
        <v>86957.75</v>
      </c>
      <c r="M503" t="str" cm="1">
        <f t="array" ref="M503">_xlfn.IFS(A503&lt;30,"Young",A503&lt;=50,"Adult",A503&gt;50,"Senior")</f>
        <v>Adult</v>
      </c>
    </row>
    <row r="504" spans="1:13" x14ac:dyDescent="0.3">
      <c r="A504">
        <v>51</v>
      </c>
      <c r="B504" t="s">
        <v>12</v>
      </c>
      <c r="C504">
        <v>23.21</v>
      </c>
      <c r="D504">
        <v>1</v>
      </c>
      <c r="E504" t="s">
        <v>18</v>
      </c>
      <c r="F504" t="s">
        <v>7</v>
      </c>
      <c r="G504">
        <v>22218.1149</v>
      </c>
      <c r="H504">
        <v>113.2</v>
      </c>
      <c r="I504" t="s">
        <v>1</v>
      </c>
      <c r="J504" t="b">
        <v>0</v>
      </c>
      <c r="K504" t="s">
        <v>14</v>
      </c>
      <c r="L504">
        <v>141259.25</v>
      </c>
      <c r="M504" t="str" cm="1">
        <f t="array" ref="M504">_xlfn.IFS(A504&lt;30,"Young",A504&lt;=50,"Adult",A504&gt;50,"Senior")</f>
        <v>Senior</v>
      </c>
    </row>
    <row r="505" spans="1:13" x14ac:dyDescent="0.3">
      <c r="A505">
        <v>19</v>
      </c>
      <c r="B505" t="s">
        <v>12</v>
      </c>
      <c r="C505">
        <v>30.25</v>
      </c>
      <c r="D505">
        <v>0</v>
      </c>
      <c r="E505" t="s">
        <v>18</v>
      </c>
      <c r="F505" t="s">
        <v>7</v>
      </c>
      <c r="G505">
        <v>32548.340499999998</v>
      </c>
      <c r="H505">
        <v>125</v>
      </c>
      <c r="I505" t="s">
        <v>3</v>
      </c>
      <c r="J505" t="b">
        <v>0</v>
      </c>
      <c r="K505" t="s">
        <v>16</v>
      </c>
      <c r="L505">
        <v>124671.76</v>
      </c>
      <c r="M505" t="str" cm="1">
        <f t="array" ref="M505">_xlfn.IFS(A505&lt;30,"Young",A505&lt;=50,"Adult",A505&gt;50,"Senior")</f>
        <v>Young</v>
      </c>
    </row>
    <row r="506" spans="1:13" x14ac:dyDescent="0.3">
      <c r="A506">
        <v>38</v>
      </c>
      <c r="B506" t="s">
        <v>11</v>
      </c>
      <c r="C506">
        <v>28.93</v>
      </c>
      <c r="D506">
        <v>1</v>
      </c>
      <c r="E506" t="s">
        <v>19</v>
      </c>
      <c r="F506" t="s">
        <v>7</v>
      </c>
      <c r="G506">
        <v>5974.3846999999996</v>
      </c>
      <c r="H506">
        <v>137.30000000000001</v>
      </c>
      <c r="I506" t="s">
        <v>2</v>
      </c>
      <c r="J506" t="b">
        <v>0</v>
      </c>
      <c r="K506" t="s">
        <v>16</v>
      </c>
      <c r="L506">
        <v>103275.22</v>
      </c>
      <c r="M506" t="str" cm="1">
        <f t="array" ref="M506">_xlfn.IFS(A506&lt;30,"Young",A506&lt;=50,"Adult",A506&gt;50,"Senior")</f>
        <v>Adult</v>
      </c>
    </row>
    <row r="507" spans="1:13" x14ac:dyDescent="0.3">
      <c r="A507">
        <v>37</v>
      </c>
      <c r="B507" t="s">
        <v>12</v>
      </c>
      <c r="C507">
        <v>30.875</v>
      </c>
      <c r="D507">
        <v>3</v>
      </c>
      <c r="E507" t="s">
        <v>19</v>
      </c>
      <c r="F507" t="s">
        <v>8</v>
      </c>
      <c r="G507">
        <v>6796.8632500000003</v>
      </c>
      <c r="H507">
        <v>133.19999999999999</v>
      </c>
      <c r="I507" t="s">
        <v>2</v>
      </c>
      <c r="J507" t="b">
        <v>0</v>
      </c>
      <c r="K507" t="s">
        <v>15</v>
      </c>
      <c r="L507">
        <v>112957.42</v>
      </c>
      <c r="M507" t="str" cm="1">
        <f t="array" ref="M507">_xlfn.IFS(A507&lt;30,"Young",A507&lt;=50,"Adult",A507&gt;50,"Senior")</f>
        <v>Adult</v>
      </c>
    </row>
    <row r="508" spans="1:13" x14ac:dyDescent="0.3">
      <c r="A508">
        <v>22</v>
      </c>
      <c r="B508" t="s">
        <v>12</v>
      </c>
      <c r="C508">
        <v>31.35</v>
      </c>
      <c r="D508">
        <v>1</v>
      </c>
      <c r="E508" t="s">
        <v>19</v>
      </c>
      <c r="F508" t="s">
        <v>8</v>
      </c>
      <c r="G508">
        <v>2643.2685000000001</v>
      </c>
      <c r="H508">
        <v>130.69999999999999</v>
      </c>
      <c r="I508" t="s">
        <v>2</v>
      </c>
      <c r="J508" t="b">
        <v>1</v>
      </c>
      <c r="K508" t="s">
        <v>16</v>
      </c>
      <c r="L508">
        <v>70908</v>
      </c>
      <c r="M508" t="str" cm="1">
        <f t="array" ref="M508">_xlfn.IFS(A508&lt;30,"Young",A508&lt;=50,"Adult",A508&gt;50,"Senior")</f>
        <v>Young</v>
      </c>
    </row>
    <row r="509" spans="1:13" x14ac:dyDescent="0.3">
      <c r="A509">
        <v>21</v>
      </c>
      <c r="B509" t="s">
        <v>12</v>
      </c>
      <c r="C509">
        <v>23.75</v>
      </c>
      <c r="D509">
        <v>2</v>
      </c>
      <c r="E509" t="s">
        <v>19</v>
      </c>
      <c r="F509" t="s">
        <v>8</v>
      </c>
      <c r="G509">
        <v>3077.0954999999999</v>
      </c>
      <c r="H509">
        <v>133.9</v>
      </c>
      <c r="I509" t="s">
        <v>2</v>
      </c>
      <c r="J509" t="b">
        <v>1</v>
      </c>
      <c r="K509" t="s">
        <v>15</v>
      </c>
      <c r="L509">
        <v>174493.14</v>
      </c>
      <c r="M509" t="str" cm="1">
        <f t="array" ref="M509">_xlfn.IFS(A509&lt;30,"Young",A509&lt;=50,"Adult",A509&gt;50,"Senior")</f>
        <v>Young</v>
      </c>
    </row>
    <row r="510" spans="1:13" x14ac:dyDescent="0.3">
      <c r="A510">
        <v>24</v>
      </c>
      <c r="B510" t="s">
        <v>11</v>
      </c>
      <c r="C510">
        <v>25.27</v>
      </c>
      <c r="D510">
        <v>0</v>
      </c>
      <c r="E510" t="s">
        <v>19</v>
      </c>
      <c r="F510" t="s">
        <v>9</v>
      </c>
      <c r="G510">
        <v>3044.2132999999999</v>
      </c>
      <c r="H510">
        <v>130.19999999999999</v>
      </c>
      <c r="I510" t="s">
        <v>3</v>
      </c>
      <c r="J510" t="b">
        <v>0</v>
      </c>
      <c r="K510" t="s">
        <v>15</v>
      </c>
      <c r="L510">
        <v>83190.87</v>
      </c>
      <c r="M510" t="str" cm="1">
        <f t="array" ref="M510">_xlfn.IFS(A510&lt;30,"Young",A510&lt;=50,"Adult",A510&gt;50,"Senior")</f>
        <v>Young</v>
      </c>
    </row>
    <row r="511" spans="1:13" x14ac:dyDescent="0.3">
      <c r="A511">
        <v>57</v>
      </c>
      <c r="B511" t="s">
        <v>11</v>
      </c>
      <c r="C511">
        <v>28.7</v>
      </c>
      <c r="D511">
        <v>0</v>
      </c>
      <c r="E511" t="s">
        <v>19</v>
      </c>
      <c r="F511" t="s">
        <v>6</v>
      </c>
      <c r="G511">
        <v>11455.28</v>
      </c>
      <c r="H511">
        <v>122.3</v>
      </c>
      <c r="I511" t="s">
        <v>1</v>
      </c>
      <c r="J511" t="b">
        <v>1</v>
      </c>
      <c r="K511" t="s">
        <v>16</v>
      </c>
      <c r="L511">
        <v>151604.31</v>
      </c>
      <c r="M511" t="str" cm="1">
        <f t="array" ref="M511">_xlfn.IFS(A511&lt;30,"Young",A511&lt;=50,"Adult",A511&gt;50,"Senior")</f>
        <v>Senior</v>
      </c>
    </row>
    <row r="512" spans="1:13" x14ac:dyDescent="0.3">
      <c r="A512">
        <v>56</v>
      </c>
      <c r="B512" t="s">
        <v>12</v>
      </c>
      <c r="C512">
        <v>32.11</v>
      </c>
      <c r="D512">
        <v>1</v>
      </c>
      <c r="E512" t="s">
        <v>19</v>
      </c>
      <c r="F512" t="s">
        <v>9</v>
      </c>
      <c r="G512">
        <v>11763.000899999999</v>
      </c>
      <c r="H512">
        <v>126.7</v>
      </c>
      <c r="I512" t="s">
        <v>1</v>
      </c>
      <c r="J512" t="b">
        <v>1</v>
      </c>
      <c r="K512" t="s">
        <v>14</v>
      </c>
      <c r="L512">
        <v>127820.39</v>
      </c>
      <c r="M512" t="str" cm="1">
        <f t="array" ref="M512">_xlfn.IFS(A512&lt;30,"Young",A512&lt;=50,"Adult",A512&gt;50,"Senior")</f>
        <v>Senior</v>
      </c>
    </row>
    <row r="513" spans="1:13" x14ac:dyDescent="0.3">
      <c r="A513">
        <v>27</v>
      </c>
      <c r="B513" t="s">
        <v>12</v>
      </c>
      <c r="C513">
        <v>33.659999999999997</v>
      </c>
      <c r="D513">
        <v>0</v>
      </c>
      <c r="E513" t="s">
        <v>19</v>
      </c>
      <c r="F513" t="s">
        <v>7</v>
      </c>
      <c r="G513">
        <v>2498.4144000000001</v>
      </c>
      <c r="H513">
        <v>120.5</v>
      </c>
      <c r="I513" t="s">
        <v>1</v>
      </c>
      <c r="J513" t="b">
        <v>0</v>
      </c>
      <c r="K513" t="s">
        <v>14</v>
      </c>
      <c r="L513">
        <v>145561.51999999999</v>
      </c>
      <c r="M513" t="str" cm="1">
        <f t="array" ref="M513">_xlfn.IFS(A513&lt;30,"Young",A513&lt;=50,"Adult",A513&gt;50,"Senior")</f>
        <v>Young</v>
      </c>
    </row>
    <row r="514" spans="1:13" x14ac:dyDescent="0.3">
      <c r="A514">
        <v>51</v>
      </c>
      <c r="B514" t="s">
        <v>12</v>
      </c>
      <c r="C514">
        <v>22.42</v>
      </c>
      <c r="D514">
        <v>0</v>
      </c>
      <c r="E514" t="s">
        <v>19</v>
      </c>
      <c r="F514" t="s">
        <v>9</v>
      </c>
      <c r="G514">
        <v>9361.3268000000007</v>
      </c>
      <c r="H514">
        <v>119.1</v>
      </c>
      <c r="I514" t="s">
        <v>3</v>
      </c>
      <c r="J514" t="b">
        <v>0</v>
      </c>
      <c r="K514" t="s">
        <v>16</v>
      </c>
      <c r="L514">
        <v>98678.78</v>
      </c>
      <c r="M514" t="str" cm="1">
        <f t="array" ref="M514">_xlfn.IFS(A514&lt;30,"Young",A514&lt;=50,"Adult",A514&gt;50,"Senior")</f>
        <v>Senior</v>
      </c>
    </row>
    <row r="515" spans="1:13" x14ac:dyDescent="0.3">
      <c r="A515">
        <v>19</v>
      </c>
      <c r="B515" t="s">
        <v>12</v>
      </c>
      <c r="C515">
        <v>30.4</v>
      </c>
      <c r="D515">
        <v>0</v>
      </c>
      <c r="E515" t="s">
        <v>19</v>
      </c>
      <c r="F515" t="s">
        <v>6</v>
      </c>
      <c r="G515">
        <v>1256.299</v>
      </c>
      <c r="H515">
        <v>130.19999999999999</v>
      </c>
      <c r="I515" t="s">
        <v>2</v>
      </c>
      <c r="J515" t="b">
        <v>1</v>
      </c>
      <c r="K515" t="s">
        <v>16</v>
      </c>
      <c r="L515">
        <v>122835.23</v>
      </c>
      <c r="M515" t="str" cm="1">
        <f t="array" ref="M515">_xlfn.IFS(A515&lt;30,"Young",A515&lt;=50,"Adult",A515&gt;50,"Senior")</f>
        <v>Young</v>
      </c>
    </row>
    <row r="516" spans="1:13" x14ac:dyDescent="0.3">
      <c r="A516">
        <v>39</v>
      </c>
      <c r="B516" t="s">
        <v>12</v>
      </c>
      <c r="C516">
        <v>28.3</v>
      </c>
      <c r="D516">
        <v>1</v>
      </c>
      <c r="E516" t="s">
        <v>18</v>
      </c>
      <c r="F516" t="s">
        <v>6</v>
      </c>
      <c r="G516">
        <v>21082.16</v>
      </c>
      <c r="H516">
        <v>117.4</v>
      </c>
      <c r="I516" t="s">
        <v>0</v>
      </c>
      <c r="J516" t="b">
        <v>0</v>
      </c>
      <c r="K516" t="s">
        <v>14</v>
      </c>
      <c r="L516">
        <v>70629.61</v>
      </c>
      <c r="M516" t="str" cm="1">
        <f t="array" ref="M516">_xlfn.IFS(A516&lt;30,"Young",A516&lt;=50,"Adult",A516&gt;50,"Senior")</f>
        <v>Adult</v>
      </c>
    </row>
    <row r="517" spans="1:13" x14ac:dyDescent="0.3">
      <c r="A517">
        <v>58</v>
      </c>
      <c r="B517" t="s">
        <v>12</v>
      </c>
      <c r="C517">
        <v>35.700000000000003</v>
      </c>
      <c r="D517">
        <v>0</v>
      </c>
      <c r="E517" t="s">
        <v>19</v>
      </c>
      <c r="F517" t="s">
        <v>6</v>
      </c>
      <c r="G517">
        <v>11362.754999999999</v>
      </c>
      <c r="H517">
        <v>118.5</v>
      </c>
      <c r="I517" t="s">
        <v>2</v>
      </c>
      <c r="J517" t="b">
        <v>1</v>
      </c>
      <c r="K517" t="s">
        <v>14</v>
      </c>
      <c r="L517">
        <v>60397.81</v>
      </c>
      <c r="M517" t="str" cm="1">
        <f t="array" ref="M517">_xlfn.IFS(A517&lt;30,"Young",A517&lt;=50,"Adult",A517&gt;50,"Senior")</f>
        <v>Senior</v>
      </c>
    </row>
    <row r="518" spans="1:13" x14ac:dyDescent="0.3">
      <c r="A518">
        <v>20</v>
      </c>
      <c r="B518" t="s">
        <v>12</v>
      </c>
      <c r="C518">
        <v>35.31</v>
      </c>
      <c r="D518">
        <v>1</v>
      </c>
      <c r="E518" t="s">
        <v>19</v>
      </c>
      <c r="F518" t="s">
        <v>7</v>
      </c>
      <c r="G518">
        <v>27724.28875</v>
      </c>
      <c r="H518">
        <v>113.8</v>
      </c>
      <c r="I518" t="s">
        <v>3</v>
      </c>
      <c r="J518" t="b">
        <v>1</v>
      </c>
      <c r="K518" t="s">
        <v>14</v>
      </c>
      <c r="L518">
        <v>113200</v>
      </c>
      <c r="M518" t="str" cm="1">
        <f t="array" ref="M518">_xlfn.IFS(A518&lt;30,"Young",A518&lt;=50,"Adult",A518&gt;50,"Senior")</f>
        <v>Young</v>
      </c>
    </row>
    <row r="519" spans="1:13" x14ac:dyDescent="0.3">
      <c r="A519">
        <v>45</v>
      </c>
      <c r="B519" t="s">
        <v>12</v>
      </c>
      <c r="C519">
        <v>30.495000000000001</v>
      </c>
      <c r="D519">
        <v>2</v>
      </c>
      <c r="E519" t="s">
        <v>19</v>
      </c>
      <c r="F519" t="s">
        <v>8</v>
      </c>
      <c r="G519">
        <v>8413.4630500000003</v>
      </c>
      <c r="H519">
        <v>129</v>
      </c>
      <c r="I519" t="s">
        <v>3</v>
      </c>
      <c r="J519" t="b">
        <v>0</v>
      </c>
      <c r="K519" t="s">
        <v>15</v>
      </c>
      <c r="L519">
        <v>162187.49</v>
      </c>
      <c r="M519" t="str" cm="1">
        <f t="array" ref="M519">_xlfn.IFS(A519&lt;30,"Young",A519&lt;=50,"Adult",A519&gt;50,"Senior")</f>
        <v>Adult</v>
      </c>
    </row>
    <row r="520" spans="1:13" x14ac:dyDescent="0.3">
      <c r="A520">
        <v>35</v>
      </c>
      <c r="B520" t="s">
        <v>11</v>
      </c>
      <c r="C520">
        <v>31</v>
      </c>
      <c r="D520">
        <v>1</v>
      </c>
      <c r="E520" t="s">
        <v>19</v>
      </c>
      <c r="F520" t="s">
        <v>6</v>
      </c>
      <c r="G520">
        <v>5240.7650000000003</v>
      </c>
      <c r="H520">
        <v>122.2</v>
      </c>
      <c r="I520" t="s">
        <v>3</v>
      </c>
      <c r="J520" t="b">
        <v>0</v>
      </c>
      <c r="K520" t="s">
        <v>15</v>
      </c>
      <c r="L520">
        <v>125015.9</v>
      </c>
      <c r="M520" t="str" cm="1">
        <f t="array" ref="M520">_xlfn.IFS(A520&lt;30,"Young",A520&lt;=50,"Adult",A520&gt;50,"Senior")</f>
        <v>Adult</v>
      </c>
    </row>
    <row r="521" spans="1:13" x14ac:dyDescent="0.3">
      <c r="A521">
        <v>31</v>
      </c>
      <c r="B521" t="s">
        <v>12</v>
      </c>
      <c r="C521">
        <v>30.875</v>
      </c>
      <c r="D521">
        <v>0</v>
      </c>
      <c r="E521" t="s">
        <v>19</v>
      </c>
      <c r="F521" t="s">
        <v>9</v>
      </c>
      <c r="G521">
        <v>3857.7592500000001</v>
      </c>
      <c r="H521">
        <v>130.4</v>
      </c>
      <c r="I521" t="s">
        <v>2</v>
      </c>
      <c r="J521" t="b">
        <v>0</v>
      </c>
      <c r="K521" t="s">
        <v>16</v>
      </c>
      <c r="L521">
        <v>100301.75999999999</v>
      </c>
      <c r="M521" t="str" cm="1">
        <f t="array" ref="M521">_xlfn.IFS(A521&lt;30,"Young",A521&lt;=50,"Adult",A521&gt;50,"Senior")</f>
        <v>Adult</v>
      </c>
    </row>
    <row r="522" spans="1:13" x14ac:dyDescent="0.3">
      <c r="A522">
        <v>50</v>
      </c>
      <c r="B522" t="s">
        <v>11</v>
      </c>
      <c r="C522">
        <v>27.36</v>
      </c>
      <c r="D522">
        <v>0</v>
      </c>
      <c r="E522" t="s">
        <v>19</v>
      </c>
      <c r="F522" t="s">
        <v>9</v>
      </c>
      <c r="G522">
        <v>25656.575260000001</v>
      </c>
      <c r="H522">
        <v>131.1</v>
      </c>
      <c r="I522" t="s">
        <v>2</v>
      </c>
      <c r="J522" t="b">
        <v>1</v>
      </c>
      <c r="K522" t="s">
        <v>14</v>
      </c>
      <c r="L522">
        <v>117277.56</v>
      </c>
      <c r="M522" t="str" cm="1">
        <f t="array" ref="M522">_xlfn.IFS(A522&lt;30,"Young",A522&lt;=50,"Adult",A522&gt;50,"Senior")</f>
        <v>Adult</v>
      </c>
    </row>
    <row r="523" spans="1:13" x14ac:dyDescent="0.3">
      <c r="A523">
        <v>32</v>
      </c>
      <c r="B523" t="s">
        <v>11</v>
      </c>
      <c r="C523">
        <v>44.22</v>
      </c>
      <c r="D523">
        <v>0</v>
      </c>
      <c r="E523" t="s">
        <v>19</v>
      </c>
      <c r="F523" t="s">
        <v>7</v>
      </c>
      <c r="G523">
        <v>3994.1777999999999</v>
      </c>
      <c r="H523">
        <v>111</v>
      </c>
      <c r="I523" t="s">
        <v>2</v>
      </c>
      <c r="J523" t="b">
        <v>0</v>
      </c>
      <c r="K523" t="s">
        <v>15</v>
      </c>
      <c r="L523">
        <v>105893.9</v>
      </c>
      <c r="M523" t="str" cm="1">
        <f t="array" ref="M523">_xlfn.IFS(A523&lt;30,"Young",A523&lt;=50,"Adult",A523&gt;50,"Senior")</f>
        <v>Adult</v>
      </c>
    </row>
    <row r="524" spans="1:13" x14ac:dyDescent="0.3">
      <c r="A524">
        <v>51</v>
      </c>
      <c r="B524" t="s">
        <v>11</v>
      </c>
      <c r="C524">
        <v>33.914999999999999</v>
      </c>
      <c r="D524">
        <v>0</v>
      </c>
      <c r="E524" t="s">
        <v>19</v>
      </c>
      <c r="F524" t="s">
        <v>9</v>
      </c>
      <c r="G524">
        <v>9866.3048500000004</v>
      </c>
      <c r="H524">
        <v>133.80000000000001</v>
      </c>
      <c r="I524" t="s">
        <v>0</v>
      </c>
      <c r="J524" t="b">
        <v>0</v>
      </c>
      <c r="K524" t="s">
        <v>14</v>
      </c>
      <c r="L524">
        <v>177741.59</v>
      </c>
      <c r="M524" t="str" cm="1">
        <f t="array" ref="M524">_xlfn.IFS(A524&lt;30,"Young",A524&lt;=50,"Adult",A524&gt;50,"Senior")</f>
        <v>Senior</v>
      </c>
    </row>
    <row r="525" spans="1:13" x14ac:dyDescent="0.3">
      <c r="A525">
        <v>38</v>
      </c>
      <c r="B525" t="s">
        <v>11</v>
      </c>
      <c r="C525">
        <v>37.729999999999997</v>
      </c>
      <c r="D525">
        <v>0</v>
      </c>
      <c r="E525" t="s">
        <v>19</v>
      </c>
      <c r="F525" t="s">
        <v>7</v>
      </c>
      <c r="G525">
        <v>5397.6166999999996</v>
      </c>
      <c r="H525">
        <v>127.5</v>
      </c>
      <c r="I525" t="s">
        <v>3</v>
      </c>
      <c r="J525" t="b">
        <v>1</v>
      </c>
      <c r="K525" t="s">
        <v>15</v>
      </c>
      <c r="L525">
        <v>137960.84</v>
      </c>
      <c r="M525" t="str" cm="1">
        <f t="array" ref="M525">_xlfn.IFS(A525&lt;30,"Young",A525&lt;=50,"Adult",A525&gt;50,"Senior")</f>
        <v>Adult</v>
      </c>
    </row>
    <row r="526" spans="1:13" x14ac:dyDescent="0.3">
      <c r="A526">
        <v>42</v>
      </c>
      <c r="B526" t="s">
        <v>12</v>
      </c>
      <c r="C526">
        <v>26.07</v>
      </c>
      <c r="D526">
        <v>1</v>
      </c>
      <c r="E526" t="s">
        <v>18</v>
      </c>
      <c r="F526" t="s">
        <v>7</v>
      </c>
      <c r="G526">
        <v>38245.593269999998</v>
      </c>
      <c r="H526">
        <v>121.6</v>
      </c>
      <c r="I526" t="s">
        <v>1</v>
      </c>
      <c r="J526" t="b">
        <v>1</v>
      </c>
      <c r="K526" t="s">
        <v>15</v>
      </c>
      <c r="L526">
        <v>91417.66</v>
      </c>
      <c r="M526" t="str" cm="1">
        <f t="array" ref="M526">_xlfn.IFS(A526&lt;30,"Young",A526&lt;=50,"Adult",A526&gt;50,"Senior")</f>
        <v>Adult</v>
      </c>
    </row>
    <row r="527" spans="1:13" x14ac:dyDescent="0.3">
      <c r="A527">
        <v>18</v>
      </c>
      <c r="B527" t="s">
        <v>11</v>
      </c>
      <c r="C527">
        <v>33.880000000000003</v>
      </c>
      <c r="D527">
        <v>0</v>
      </c>
      <c r="E527" t="s">
        <v>19</v>
      </c>
      <c r="F527" t="s">
        <v>7</v>
      </c>
      <c r="G527">
        <v>11482.63485</v>
      </c>
      <c r="H527">
        <v>139.5</v>
      </c>
      <c r="I527" t="s">
        <v>3</v>
      </c>
      <c r="J527" t="b">
        <v>1</v>
      </c>
      <c r="K527" t="s">
        <v>16</v>
      </c>
      <c r="L527">
        <v>152187.92000000001</v>
      </c>
      <c r="M527" t="str" cm="1">
        <f t="array" ref="M527">_xlfn.IFS(A527&lt;30,"Young",A527&lt;=50,"Adult",A527&gt;50,"Senior")</f>
        <v>Young</v>
      </c>
    </row>
    <row r="528" spans="1:13" x14ac:dyDescent="0.3">
      <c r="A528">
        <v>19</v>
      </c>
      <c r="B528" t="s">
        <v>11</v>
      </c>
      <c r="C528">
        <v>30.59</v>
      </c>
      <c r="D528">
        <v>2</v>
      </c>
      <c r="E528" t="s">
        <v>19</v>
      </c>
      <c r="F528" t="s">
        <v>8</v>
      </c>
      <c r="G528">
        <v>24059.680189999999</v>
      </c>
      <c r="H528">
        <v>110.8</v>
      </c>
      <c r="I528" t="s">
        <v>1</v>
      </c>
      <c r="J528" t="b">
        <v>0</v>
      </c>
      <c r="K528" t="s">
        <v>16</v>
      </c>
      <c r="L528">
        <v>159805.75</v>
      </c>
      <c r="M528" t="str" cm="1">
        <f t="array" ref="M528">_xlfn.IFS(A528&lt;30,"Young",A528&lt;=50,"Adult",A528&gt;50,"Senior")</f>
        <v>Young</v>
      </c>
    </row>
    <row r="529" spans="1:13" x14ac:dyDescent="0.3">
      <c r="A529">
        <v>51</v>
      </c>
      <c r="B529" t="s">
        <v>11</v>
      </c>
      <c r="C529">
        <v>25.8</v>
      </c>
      <c r="D529">
        <v>1</v>
      </c>
      <c r="E529" t="s">
        <v>19</v>
      </c>
      <c r="F529" t="s">
        <v>6</v>
      </c>
      <c r="G529">
        <v>9861.0249999999996</v>
      </c>
      <c r="H529">
        <v>112</v>
      </c>
      <c r="I529" t="s">
        <v>2</v>
      </c>
      <c r="J529" t="b">
        <v>1</v>
      </c>
      <c r="K529" t="s">
        <v>16</v>
      </c>
      <c r="L529">
        <v>85768.16</v>
      </c>
      <c r="M529" t="str" cm="1">
        <f t="array" ref="M529">_xlfn.IFS(A529&lt;30,"Young",A529&lt;=50,"Adult",A529&gt;50,"Senior")</f>
        <v>Senior</v>
      </c>
    </row>
    <row r="530" spans="1:13" x14ac:dyDescent="0.3">
      <c r="A530">
        <v>46</v>
      </c>
      <c r="B530" t="s">
        <v>12</v>
      </c>
      <c r="C530">
        <v>39.424999999999997</v>
      </c>
      <c r="D530">
        <v>1</v>
      </c>
      <c r="E530" t="s">
        <v>19</v>
      </c>
      <c r="F530" t="s">
        <v>9</v>
      </c>
      <c r="G530">
        <v>8342.9087500000005</v>
      </c>
      <c r="H530">
        <v>122.1</v>
      </c>
      <c r="I530" t="s">
        <v>2</v>
      </c>
      <c r="J530" t="b">
        <v>1</v>
      </c>
      <c r="K530" t="s">
        <v>16</v>
      </c>
      <c r="L530">
        <v>35454.949999999997</v>
      </c>
      <c r="M530" t="str" cm="1">
        <f t="array" ref="M530">_xlfn.IFS(A530&lt;30,"Young",A530&lt;=50,"Adult",A530&gt;50,"Senior")</f>
        <v>Adult</v>
      </c>
    </row>
    <row r="531" spans="1:13" x14ac:dyDescent="0.3">
      <c r="A531">
        <v>18</v>
      </c>
      <c r="B531" t="s">
        <v>12</v>
      </c>
      <c r="C531">
        <v>25.46</v>
      </c>
      <c r="D531">
        <v>0</v>
      </c>
      <c r="E531" t="s">
        <v>19</v>
      </c>
      <c r="F531" t="s">
        <v>9</v>
      </c>
      <c r="G531">
        <v>1708.0014000000001</v>
      </c>
      <c r="H531">
        <v>127.5</v>
      </c>
      <c r="I531" t="s">
        <v>0</v>
      </c>
      <c r="J531" t="b">
        <v>0</v>
      </c>
      <c r="K531" t="s">
        <v>14</v>
      </c>
      <c r="L531">
        <v>46542.98</v>
      </c>
      <c r="M531" t="str" cm="1">
        <f t="array" ref="M531">_xlfn.IFS(A531&lt;30,"Young",A531&lt;=50,"Adult",A531&gt;50,"Senior")</f>
        <v>Young</v>
      </c>
    </row>
    <row r="532" spans="1:13" x14ac:dyDescent="0.3">
      <c r="A532">
        <v>57</v>
      </c>
      <c r="B532" t="s">
        <v>12</v>
      </c>
      <c r="C532">
        <v>42.13</v>
      </c>
      <c r="D532">
        <v>1</v>
      </c>
      <c r="E532" t="s">
        <v>18</v>
      </c>
      <c r="F532" t="s">
        <v>7</v>
      </c>
      <c r="G532">
        <v>48675.517699999997</v>
      </c>
      <c r="H532">
        <v>124.6</v>
      </c>
      <c r="I532" t="s">
        <v>1</v>
      </c>
      <c r="J532" t="b">
        <v>1</v>
      </c>
      <c r="K532" t="s">
        <v>15</v>
      </c>
      <c r="L532">
        <v>182886.16</v>
      </c>
      <c r="M532" t="str" cm="1">
        <f t="array" ref="M532">_xlfn.IFS(A532&lt;30,"Young",A532&lt;=50,"Adult",A532&gt;50,"Senior")</f>
        <v>Senior</v>
      </c>
    </row>
    <row r="533" spans="1:13" x14ac:dyDescent="0.3">
      <c r="A533">
        <v>62</v>
      </c>
      <c r="B533" t="s">
        <v>11</v>
      </c>
      <c r="C533">
        <v>31.73</v>
      </c>
      <c r="D533">
        <v>0</v>
      </c>
      <c r="E533" t="s">
        <v>19</v>
      </c>
      <c r="F533" t="s">
        <v>9</v>
      </c>
      <c r="G533">
        <v>14043.476699999999</v>
      </c>
      <c r="H533">
        <v>115.7</v>
      </c>
      <c r="I533" t="s">
        <v>1</v>
      </c>
      <c r="J533" t="b">
        <v>0</v>
      </c>
      <c r="K533" t="s">
        <v>16</v>
      </c>
      <c r="L533">
        <v>146356.51</v>
      </c>
      <c r="M533" t="str" cm="1">
        <f t="array" ref="M533">_xlfn.IFS(A533&lt;30,"Young",A533&lt;=50,"Adult",A533&gt;50,"Senior")</f>
        <v>Senior</v>
      </c>
    </row>
    <row r="534" spans="1:13" x14ac:dyDescent="0.3">
      <c r="A534">
        <v>59</v>
      </c>
      <c r="B534" t="s">
        <v>12</v>
      </c>
      <c r="C534">
        <v>29.7</v>
      </c>
      <c r="D534">
        <v>2</v>
      </c>
      <c r="E534" t="s">
        <v>19</v>
      </c>
      <c r="F534" t="s">
        <v>7</v>
      </c>
      <c r="G534">
        <v>12925.886</v>
      </c>
      <c r="H534">
        <v>136.9</v>
      </c>
      <c r="I534" t="s">
        <v>2</v>
      </c>
      <c r="J534" t="b">
        <v>0</v>
      </c>
      <c r="K534" t="s">
        <v>14</v>
      </c>
      <c r="L534">
        <v>183722.07</v>
      </c>
      <c r="M534" t="str" cm="1">
        <f t="array" ref="M534">_xlfn.IFS(A534&lt;30,"Young",A534&lt;=50,"Adult",A534&gt;50,"Senior")</f>
        <v>Senior</v>
      </c>
    </row>
    <row r="535" spans="1:13" x14ac:dyDescent="0.3">
      <c r="A535">
        <v>37</v>
      </c>
      <c r="B535" t="s">
        <v>12</v>
      </c>
      <c r="C535">
        <v>36.19</v>
      </c>
      <c r="D535">
        <v>0</v>
      </c>
      <c r="E535" t="s">
        <v>19</v>
      </c>
      <c r="F535" t="s">
        <v>7</v>
      </c>
      <c r="G535">
        <v>19214.705529999999</v>
      </c>
      <c r="H535">
        <v>118.4</v>
      </c>
      <c r="I535" t="s">
        <v>3</v>
      </c>
      <c r="J535" t="b">
        <v>1</v>
      </c>
      <c r="K535" t="s">
        <v>14</v>
      </c>
      <c r="L535">
        <v>118632.94</v>
      </c>
      <c r="M535" t="str" cm="1">
        <f t="array" ref="M535">_xlfn.IFS(A535&lt;30,"Young",A535&lt;=50,"Adult",A535&gt;50,"Senior")</f>
        <v>Adult</v>
      </c>
    </row>
    <row r="536" spans="1:13" x14ac:dyDescent="0.3">
      <c r="A536">
        <v>64</v>
      </c>
      <c r="B536" t="s">
        <v>12</v>
      </c>
      <c r="C536">
        <v>40.479999999999997</v>
      </c>
      <c r="D536">
        <v>0</v>
      </c>
      <c r="E536" t="s">
        <v>19</v>
      </c>
      <c r="F536" t="s">
        <v>7</v>
      </c>
      <c r="G536">
        <v>13831.1152</v>
      </c>
      <c r="H536">
        <v>120.4</v>
      </c>
      <c r="I536" t="s">
        <v>2</v>
      </c>
      <c r="J536" t="b">
        <v>0</v>
      </c>
      <c r="K536" t="s">
        <v>14</v>
      </c>
      <c r="L536">
        <v>107216.21</v>
      </c>
      <c r="M536" t="str" cm="1">
        <f t="array" ref="M536">_xlfn.IFS(A536&lt;30,"Young",A536&lt;=50,"Adult",A536&gt;50,"Senior")</f>
        <v>Senior</v>
      </c>
    </row>
    <row r="537" spans="1:13" x14ac:dyDescent="0.3">
      <c r="A537">
        <v>38</v>
      </c>
      <c r="B537" t="s">
        <v>12</v>
      </c>
      <c r="C537">
        <v>28.024999999999999</v>
      </c>
      <c r="D537">
        <v>1</v>
      </c>
      <c r="E537" t="s">
        <v>19</v>
      </c>
      <c r="F537" t="s">
        <v>9</v>
      </c>
      <c r="G537">
        <v>6067.1267500000004</v>
      </c>
      <c r="H537">
        <v>126.3</v>
      </c>
      <c r="I537" t="s">
        <v>2</v>
      </c>
      <c r="J537" t="b">
        <v>0</v>
      </c>
      <c r="K537" t="s">
        <v>16</v>
      </c>
      <c r="L537">
        <v>187720.16</v>
      </c>
      <c r="M537" t="str" cm="1">
        <f t="array" ref="M537">_xlfn.IFS(A537&lt;30,"Young",A537&lt;=50,"Adult",A537&gt;50,"Senior")</f>
        <v>Adult</v>
      </c>
    </row>
    <row r="538" spans="1:13" x14ac:dyDescent="0.3">
      <c r="A538">
        <v>33</v>
      </c>
      <c r="B538" t="s">
        <v>11</v>
      </c>
      <c r="C538">
        <v>38.9</v>
      </c>
      <c r="D538">
        <v>3</v>
      </c>
      <c r="E538" t="s">
        <v>19</v>
      </c>
      <c r="F538" t="s">
        <v>6</v>
      </c>
      <c r="G538">
        <v>5972.3779999999997</v>
      </c>
      <c r="H538">
        <v>122.6</v>
      </c>
      <c r="I538" t="s">
        <v>2</v>
      </c>
      <c r="J538" t="b">
        <v>1</v>
      </c>
      <c r="K538" t="s">
        <v>14</v>
      </c>
      <c r="L538">
        <v>95172.97</v>
      </c>
      <c r="M538" t="str" cm="1">
        <f t="array" ref="M538">_xlfn.IFS(A538&lt;30,"Young",A538&lt;=50,"Adult",A538&gt;50,"Senior")</f>
        <v>Adult</v>
      </c>
    </row>
    <row r="539" spans="1:13" x14ac:dyDescent="0.3">
      <c r="A539">
        <v>46</v>
      </c>
      <c r="B539" t="s">
        <v>11</v>
      </c>
      <c r="C539">
        <v>30.2</v>
      </c>
      <c r="D539">
        <v>2</v>
      </c>
      <c r="E539" t="s">
        <v>19</v>
      </c>
      <c r="F539" t="s">
        <v>6</v>
      </c>
      <c r="G539">
        <v>8825.0859999999993</v>
      </c>
      <c r="H539">
        <v>115.8</v>
      </c>
      <c r="I539" t="s">
        <v>1</v>
      </c>
      <c r="J539" t="b">
        <v>1</v>
      </c>
      <c r="K539" t="s">
        <v>15</v>
      </c>
      <c r="L539">
        <v>190261.84</v>
      </c>
      <c r="M539" t="str" cm="1">
        <f t="array" ref="M539">_xlfn.IFS(A539&lt;30,"Young",A539&lt;=50,"Adult",A539&gt;50,"Senior")</f>
        <v>Adult</v>
      </c>
    </row>
    <row r="540" spans="1:13" x14ac:dyDescent="0.3">
      <c r="A540">
        <v>46</v>
      </c>
      <c r="B540" t="s">
        <v>11</v>
      </c>
      <c r="C540">
        <v>28.05</v>
      </c>
      <c r="D540">
        <v>1</v>
      </c>
      <c r="E540" t="s">
        <v>19</v>
      </c>
      <c r="F540" t="s">
        <v>7</v>
      </c>
      <c r="G540">
        <v>8233.0974999999999</v>
      </c>
      <c r="H540">
        <v>126.2</v>
      </c>
      <c r="I540" t="s">
        <v>0</v>
      </c>
      <c r="J540" t="b">
        <v>0</v>
      </c>
      <c r="K540" t="s">
        <v>15</v>
      </c>
      <c r="L540">
        <v>70491.19</v>
      </c>
      <c r="M540" t="str" cm="1">
        <f t="array" ref="M540">_xlfn.IFS(A540&lt;30,"Young",A540&lt;=50,"Adult",A540&gt;50,"Senior")</f>
        <v>Adult</v>
      </c>
    </row>
    <row r="541" spans="1:13" x14ac:dyDescent="0.3">
      <c r="A541">
        <v>53</v>
      </c>
      <c r="B541" t="s">
        <v>12</v>
      </c>
      <c r="C541">
        <v>31.35</v>
      </c>
      <c r="D541">
        <v>0</v>
      </c>
      <c r="E541" t="s">
        <v>19</v>
      </c>
      <c r="F541" t="s">
        <v>7</v>
      </c>
      <c r="G541">
        <v>27346.04207</v>
      </c>
      <c r="H541">
        <v>124.9</v>
      </c>
      <c r="I541" t="s">
        <v>2</v>
      </c>
      <c r="J541" t="b">
        <v>0</v>
      </c>
      <c r="K541" t="s">
        <v>14</v>
      </c>
      <c r="L541">
        <v>162099.85999999999</v>
      </c>
      <c r="M541" t="str" cm="1">
        <f t="array" ref="M541">_xlfn.IFS(A541&lt;30,"Young",A541&lt;=50,"Adult",A541&gt;50,"Senior")</f>
        <v>Senior</v>
      </c>
    </row>
    <row r="542" spans="1:13" x14ac:dyDescent="0.3">
      <c r="A542">
        <v>34</v>
      </c>
      <c r="B542" t="s">
        <v>11</v>
      </c>
      <c r="C542">
        <v>38</v>
      </c>
      <c r="D542">
        <v>3</v>
      </c>
      <c r="E542" t="s">
        <v>19</v>
      </c>
      <c r="F542" t="s">
        <v>6</v>
      </c>
      <c r="G542">
        <v>6196.4480000000003</v>
      </c>
      <c r="H542">
        <v>117.3</v>
      </c>
      <c r="I542" t="s">
        <v>3</v>
      </c>
      <c r="J542" t="b">
        <v>1</v>
      </c>
      <c r="K542" t="s">
        <v>16</v>
      </c>
      <c r="L542">
        <v>158210.51999999999</v>
      </c>
      <c r="M542" t="str" cm="1">
        <f t="array" ref="M542">_xlfn.IFS(A542&lt;30,"Young",A542&lt;=50,"Adult",A542&gt;50,"Senior")</f>
        <v>Adult</v>
      </c>
    </row>
    <row r="543" spans="1:13" x14ac:dyDescent="0.3">
      <c r="A543">
        <v>20</v>
      </c>
      <c r="B543" t="s">
        <v>11</v>
      </c>
      <c r="C543">
        <v>31.79</v>
      </c>
      <c r="D543">
        <v>2</v>
      </c>
      <c r="E543" t="s">
        <v>19</v>
      </c>
      <c r="F543" t="s">
        <v>7</v>
      </c>
      <c r="G543">
        <v>3056.3881000000001</v>
      </c>
      <c r="H543">
        <v>111.3</v>
      </c>
      <c r="I543" t="s">
        <v>0</v>
      </c>
      <c r="J543" t="b">
        <v>1</v>
      </c>
      <c r="K543" t="s">
        <v>14</v>
      </c>
      <c r="L543">
        <v>40815.42</v>
      </c>
      <c r="M543" t="str" cm="1">
        <f t="array" ref="M543">_xlfn.IFS(A543&lt;30,"Young",A543&lt;=50,"Adult",A543&gt;50,"Senior")</f>
        <v>Young</v>
      </c>
    </row>
    <row r="544" spans="1:13" x14ac:dyDescent="0.3">
      <c r="A544">
        <v>63</v>
      </c>
      <c r="B544" t="s">
        <v>11</v>
      </c>
      <c r="C544">
        <v>36.299999999999997</v>
      </c>
      <c r="D544">
        <v>0</v>
      </c>
      <c r="E544" t="s">
        <v>19</v>
      </c>
      <c r="F544" t="s">
        <v>7</v>
      </c>
      <c r="G544">
        <v>13887.204</v>
      </c>
      <c r="H544">
        <v>110.8</v>
      </c>
      <c r="I544" t="s">
        <v>2</v>
      </c>
      <c r="J544" t="b">
        <v>0</v>
      </c>
      <c r="K544" t="s">
        <v>16</v>
      </c>
      <c r="L544">
        <v>149414.13</v>
      </c>
      <c r="M544" t="str" cm="1">
        <f t="array" ref="M544">_xlfn.IFS(A544&lt;30,"Young",A544&lt;=50,"Adult",A544&gt;50,"Senior")</f>
        <v>Senior</v>
      </c>
    </row>
    <row r="545" spans="1:13" x14ac:dyDescent="0.3">
      <c r="A545">
        <v>54</v>
      </c>
      <c r="B545" t="s">
        <v>11</v>
      </c>
      <c r="C545">
        <v>47.41</v>
      </c>
      <c r="D545">
        <v>0</v>
      </c>
      <c r="E545" t="s">
        <v>18</v>
      </c>
      <c r="F545" t="s">
        <v>7</v>
      </c>
      <c r="G545">
        <v>63770.428010000003</v>
      </c>
      <c r="H545">
        <v>126.7</v>
      </c>
      <c r="I545" t="s">
        <v>2</v>
      </c>
      <c r="J545" t="b">
        <v>0</v>
      </c>
      <c r="K545" t="s">
        <v>15</v>
      </c>
      <c r="L545">
        <v>174544.01</v>
      </c>
      <c r="M545" t="str" cm="1">
        <f t="array" ref="M545">_xlfn.IFS(A545&lt;30,"Young",A545&lt;=50,"Adult",A545&gt;50,"Senior")</f>
        <v>Senior</v>
      </c>
    </row>
    <row r="546" spans="1:13" x14ac:dyDescent="0.3">
      <c r="A546">
        <v>54</v>
      </c>
      <c r="B546" t="s">
        <v>12</v>
      </c>
      <c r="C546">
        <v>30.21</v>
      </c>
      <c r="D546">
        <v>0</v>
      </c>
      <c r="E546" t="s">
        <v>19</v>
      </c>
      <c r="F546" t="s">
        <v>8</v>
      </c>
      <c r="G546">
        <v>10231.499900000001</v>
      </c>
      <c r="H546">
        <v>117.9</v>
      </c>
      <c r="I546" t="s">
        <v>2</v>
      </c>
      <c r="J546" t="b">
        <v>1</v>
      </c>
      <c r="K546" t="s">
        <v>15</v>
      </c>
      <c r="L546">
        <v>196628.03</v>
      </c>
      <c r="M546" t="str" cm="1">
        <f t="array" ref="M546">_xlfn.IFS(A546&lt;30,"Young",A546&lt;=50,"Adult",A546&gt;50,"Senior")</f>
        <v>Senior</v>
      </c>
    </row>
    <row r="547" spans="1:13" x14ac:dyDescent="0.3">
      <c r="A547">
        <v>49</v>
      </c>
      <c r="B547" t="s">
        <v>12</v>
      </c>
      <c r="C547">
        <v>25.84</v>
      </c>
      <c r="D547">
        <v>2</v>
      </c>
      <c r="E547" t="s">
        <v>18</v>
      </c>
      <c r="F547" t="s">
        <v>8</v>
      </c>
      <c r="G547">
        <v>23807.240600000001</v>
      </c>
      <c r="H547">
        <v>130.4</v>
      </c>
      <c r="I547" t="s">
        <v>3</v>
      </c>
      <c r="J547" t="b">
        <v>0</v>
      </c>
      <c r="K547" t="s">
        <v>16</v>
      </c>
      <c r="L547">
        <v>82917.86</v>
      </c>
      <c r="M547" t="str" cm="1">
        <f t="array" ref="M547">_xlfn.IFS(A547&lt;30,"Young",A547&lt;=50,"Adult",A547&gt;50,"Senior")</f>
        <v>Adult</v>
      </c>
    </row>
    <row r="548" spans="1:13" x14ac:dyDescent="0.3">
      <c r="A548">
        <v>28</v>
      </c>
      <c r="B548" t="s">
        <v>12</v>
      </c>
      <c r="C548">
        <v>35.435000000000002</v>
      </c>
      <c r="D548">
        <v>0</v>
      </c>
      <c r="E548" t="s">
        <v>19</v>
      </c>
      <c r="F548" t="s">
        <v>9</v>
      </c>
      <c r="G548">
        <v>3268.84665</v>
      </c>
      <c r="H548">
        <v>137.69999999999999</v>
      </c>
      <c r="I548" t="s">
        <v>2</v>
      </c>
      <c r="J548" t="b">
        <v>1</v>
      </c>
      <c r="K548" t="s">
        <v>14</v>
      </c>
      <c r="L548">
        <v>76537.710000000006</v>
      </c>
      <c r="M548" t="str" cm="1">
        <f t="array" ref="M548">_xlfn.IFS(A548&lt;30,"Young",A548&lt;=50,"Adult",A548&gt;50,"Senior")</f>
        <v>Young</v>
      </c>
    </row>
    <row r="549" spans="1:13" x14ac:dyDescent="0.3">
      <c r="A549">
        <v>54</v>
      </c>
      <c r="B549" t="s">
        <v>11</v>
      </c>
      <c r="C549">
        <v>46.7</v>
      </c>
      <c r="D549">
        <v>2</v>
      </c>
      <c r="E549" t="s">
        <v>19</v>
      </c>
      <c r="F549" t="s">
        <v>6</v>
      </c>
      <c r="G549">
        <v>11538.421</v>
      </c>
      <c r="H549">
        <v>126.8</v>
      </c>
      <c r="I549" t="s">
        <v>0</v>
      </c>
      <c r="J549" t="b">
        <v>0</v>
      </c>
      <c r="K549" t="s">
        <v>16</v>
      </c>
      <c r="L549">
        <v>152320.73000000001</v>
      </c>
      <c r="M549" t="str" cm="1">
        <f t="array" ref="M549">_xlfn.IFS(A549&lt;30,"Young",A549&lt;=50,"Adult",A549&gt;50,"Senior")</f>
        <v>Senior</v>
      </c>
    </row>
    <row r="550" spans="1:13" x14ac:dyDescent="0.3">
      <c r="A550">
        <v>25</v>
      </c>
      <c r="B550" t="s">
        <v>11</v>
      </c>
      <c r="C550">
        <v>28.594999999999999</v>
      </c>
      <c r="D550">
        <v>0</v>
      </c>
      <c r="E550" t="s">
        <v>19</v>
      </c>
      <c r="F550" t="s">
        <v>9</v>
      </c>
      <c r="G550">
        <v>3213.6220499999999</v>
      </c>
      <c r="H550">
        <v>125.8</v>
      </c>
      <c r="I550" t="s">
        <v>0</v>
      </c>
      <c r="J550" t="b">
        <v>1</v>
      </c>
      <c r="K550" t="s">
        <v>14</v>
      </c>
      <c r="L550">
        <v>109109.42</v>
      </c>
      <c r="M550" t="str" cm="1">
        <f t="array" ref="M550">_xlfn.IFS(A550&lt;30,"Young",A550&lt;=50,"Adult",A550&gt;50,"Senior")</f>
        <v>Young</v>
      </c>
    </row>
    <row r="551" spans="1:13" x14ac:dyDescent="0.3">
      <c r="A551">
        <v>43</v>
      </c>
      <c r="B551" t="s">
        <v>11</v>
      </c>
      <c r="C551">
        <v>46.2</v>
      </c>
      <c r="D551">
        <v>0</v>
      </c>
      <c r="E551" t="s">
        <v>18</v>
      </c>
      <c r="F551" t="s">
        <v>7</v>
      </c>
      <c r="G551">
        <v>45863.205000000002</v>
      </c>
      <c r="H551">
        <v>110.8</v>
      </c>
      <c r="I551" t="s">
        <v>3</v>
      </c>
      <c r="J551" t="b">
        <v>1</v>
      </c>
      <c r="K551" t="s">
        <v>16</v>
      </c>
      <c r="L551">
        <v>101765.28</v>
      </c>
      <c r="M551" t="str" cm="1">
        <f t="array" ref="M551">_xlfn.IFS(A551&lt;30,"Young",A551&lt;=50,"Adult",A551&gt;50,"Senior")</f>
        <v>Adult</v>
      </c>
    </row>
    <row r="552" spans="1:13" x14ac:dyDescent="0.3">
      <c r="A552">
        <v>63</v>
      </c>
      <c r="B552" t="s">
        <v>12</v>
      </c>
      <c r="C552">
        <v>30.8</v>
      </c>
      <c r="D552">
        <v>0</v>
      </c>
      <c r="E552" t="s">
        <v>19</v>
      </c>
      <c r="F552" t="s">
        <v>6</v>
      </c>
      <c r="G552">
        <v>13390.558999999999</v>
      </c>
      <c r="H552">
        <v>133.4</v>
      </c>
      <c r="I552" t="s">
        <v>3</v>
      </c>
      <c r="J552" t="b">
        <v>0</v>
      </c>
      <c r="K552" t="s">
        <v>16</v>
      </c>
      <c r="L552">
        <v>76248.27</v>
      </c>
      <c r="M552" t="str" cm="1">
        <f t="array" ref="M552">_xlfn.IFS(A552&lt;30,"Young",A552&lt;=50,"Adult",A552&gt;50,"Senior")</f>
        <v>Senior</v>
      </c>
    </row>
    <row r="553" spans="1:13" x14ac:dyDescent="0.3">
      <c r="A553">
        <v>32</v>
      </c>
      <c r="B553" t="s">
        <v>11</v>
      </c>
      <c r="C553">
        <v>28.93</v>
      </c>
      <c r="D553">
        <v>0</v>
      </c>
      <c r="E553" t="s">
        <v>19</v>
      </c>
      <c r="F553" t="s">
        <v>7</v>
      </c>
      <c r="G553">
        <v>3972.9247</v>
      </c>
      <c r="H553">
        <v>129.80000000000001</v>
      </c>
      <c r="I553" t="s">
        <v>1</v>
      </c>
      <c r="J553" t="b">
        <v>0</v>
      </c>
      <c r="K553" t="s">
        <v>15</v>
      </c>
      <c r="L553">
        <v>137433.71</v>
      </c>
      <c r="M553" t="str" cm="1">
        <f t="array" ref="M553">_xlfn.IFS(A553&lt;30,"Young",A553&lt;=50,"Adult",A553&gt;50,"Senior")</f>
        <v>Adult</v>
      </c>
    </row>
    <row r="554" spans="1:13" x14ac:dyDescent="0.3">
      <c r="A554">
        <v>62</v>
      </c>
      <c r="B554" t="s">
        <v>12</v>
      </c>
      <c r="C554">
        <v>21.4</v>
      </c>
      <c r="D554">
        <v>0</v>
      </c>
      <c r="E554" t="s">
        <v>19</v>
      </c>
      <c r="F554" t="s">
        <v>6</v>
      </c>
      <c r="G554">
        <v>12957.118</v>
      </c>
      <c r="H554">
        <v>117.7</v>
      </c>
      <c r="I554" t="s">
        <v>3</v>
      </c>
      <c r="J554" t="b">
        <v>1</v>
      </c>
      <c r="K554" t="s">
        <v>16</v>
      </c>
      <c r="L554">
        <v>175495.39</v>
      </c>
      <c r="M554" t="str" cm="1">
        <f t="array" ref="M554">_xlfn.IFS(A554&lt;30,"Young",A554&lt;=50,"Adult",A554&gt;50,"Senior")</f>
        <v>Senior</v>
      </c>
    </row>
    <row r="555" spans="1:13" x14ac:dyDescent="0.3">
      <c r="A555">
        <v>52</v>
      </c>
      <c r="B555" t="s">
        <v>11</v>
      </c>
      <c r="C555">
        <v>31.73</v>
      </c>
      <c r="D555">
        <v>2</v>
      </c>
      <c r="E555" t="s">
        <v>19</v>
      </c>
      <c r="F555" t="s">
        <v>8</v>
      </c>
      <c r="G555">
        <v>11187.6567</v>
      </c>
      <c r="H555">
        <v>112</v>
      </c>
      <c r="I555" t="s">
        <v>3</v>
      </c>
      <c r="J555" t="b">
        <v>1</v>
      </c>
      <c r="K555" t="s">
        <v>15</v>
      </c>
      <c r="L555">
        <v>83338.12</v>
      </c>
      <c r="M555" t="str" cm="1">
        <f t="array" ref="M555">_xlfn.IFS(A555&lt;30,"Young",A555&lt;=50,"Adult",A555&gt;50,"Senior")</f>
        <v>Senior</v>
      </c>
    </row>
    <row r="556" spans="1:13" x14ac:dyDescent="0.3">
      <c r="A556">
        <v>25</v>
      </c>
      <c r="B556" t="s">
        <v>11</v>
      </c>
      <c r="C556">
        <v>41.325000000000003</v>
      </c>
      <c r="D556">
        <v>0</v>
      </c>
      <c r="E556" t="s">
        <v>19</v>
      </c>
      <c r="F556" t="s">
        <v>9</v>
      </c>
      <c r="G556">
        <v>17878.900679999999</v>
      </c>
      <c r="H556">
        <v>123.5</v>
      </c>
      <c r="I556" t="s">
        <v>0</v>
      </c>
      <c r="J556" t="b">
        <v>0</v>
      </c>
      <c r="K556" t="s">
        <v>14</v>
      </c>
      <c r="L556">
        <v>105873.92</v>
      </c>
      <c r="M556" t="str" cm="1">
        <f t="array" ref="M556">_xlfn.IFS(A556&lt;30,"Young",A556&lt;=50,"Adult",A556&gt;50,"Senior")</f>
        <v>Young</v>
      </c>
    </row>
    <row r="557" spans="1:13" x14ac:dyDescent="0.3">
      <c r="A557">
        <v>28</v>
      </c>
      <c r="B557" t="s">
        <v>12</v>
      </c>
      <c r="C557">
        <v>23.8</v>
      </c>
      <c r="D557">
        <v>2</v>
      </c>
      <c r="E557" t="s">
        <v>19</v>
      </c>
      <c r="F557" t="s">
        <v>6</v>
      </c>
      <c r="G557">
        <v>3847.674</v>
      </c>
      <c r="H557">
        <v>120</v>
      </c>
      <c r="I557" t="s">
        <v>3</v>
      </c>
      <c r="J557" t="b">
        <v>0</v>
      </c>
      <c r="K557" t="s">
        <v>16</v>
      </c>
      <c r="L557">
        <v>93108.3</v>
      </c>
      <c r="M557" t="str" cm="1">
        <f t="array" ref="M557">_xlfn.IFS(A557&lt;30,"Young",A557&lt;=50,"Adult",A557&gt;50,"Senior")</f>
        <v>Young</v>
      </c>
    </row>
    <row r="558" spans="1:13" x14ac:dyDescent="0.3">
      <c r="A558">
        <v>46</v>
      </c>
      <c r="B558" t="s">
        <v>12</v>
      </c>
      <c r="C558">
        <v>33.44</v>
      </c>
      <c r="D558">
        <v>1</v>
      </c>
      <c r="E558" t="s">
        <v>19</v>
      </c>
      <c r="F558" t="s">
        <v>9</v>
      </c>
      <c r="G558">
        <v>8334.5895999999993</v>
      </c>
      <c r="H558">
        <v>125.3</v>
      </c>
      <c r="I558" t="s">
        <v>1</v>
      </c>
      <c r="J558" t="b">
        <v>1</v>
      </c>
      <c r="K558" t="s">
        <v>14</v>
      </c>
      <c r="L558">
        <v>96160.27</v>
      </c>
      <c r="M558" t="str" cm="1">
        <f t="array" ref="M558">_xlfn.IFS(A558&lt;30,"Young",A558&lt;=50,"Adult",A558&gt;50,"Senior")</f>
        <v>Adult</v>
      </c>
    </row>
    <row r="559" spans="1:13" x14ac:dyDescent="0.3">
      <c r="A559">
        <v>34</v>
      </c>
      <c r="B559" t="s">
        <v>12</v>
      </c>
      <c r="C559">
        <v>34.21</v>
      </c>
      <c r="D559">
        <v>0</v>
      </c>
      <c r="E559" t="s">
        <v>19</v>
      </c>
      <c r="F559" t="s">
        <v>7</v>
      </c>
      <c r="G559">
        <v>3935.1799000000001</v>
      </c>
      <c r="H559">
        <v>118.4</v>
      </c>
      <c r="I559" t="s">
        <v>3</v>
      </c>
      <c r="J559" t="b">
        <v>0</v>
      </c>
      <c r="K559" t="s">
        <v>14</v>
      </c>
      <c r="L559">
        <v>152367.45000000001</v>
      </c>
      <c r="M559" t="str" cm="1">
        <f t="array" ref="M559">_xlfn.IFS(A559&lt;30,"Young",A559&lt;=50,"Adult",A559&gt;50,"Senior")</f>
        <v>Adult</v>
      </c>
    </row>
    <row r="560" spans="1:13" x14ac:dyDescent="0.3">
      <c r="A560">
        <v>35</v>
      </c>
      <c r="B560" t="s">
        <v>11</v>
      </c>
      <c r="C560">
        <v>34.104999999999997</v>
      </c>
      <c r="D560">
        <v>3</v>
      </c>
      <c r="E560" t="s">
        <v>18</v>
      </c>
      <c r="F560" t="s">
        <v>8</v>
      </c>
      <c r="G560">
        <v>39983.425949999997</v>
      </c>
      <c r="H560">
        <v>120.8</v>
      </c>
      <c r="I560" t="s">
        <v>2</v>
      </c>
      <c r="J560" t="b">
        <v>1</v>
      </c>
      <c r="K560" t="s">
        <v>15</v>
      </c>
      <c r="L560">
        <v>50976.45</v>
      </c>
      <c r="M560" t="str" cm="1">
        <f t="array" ref="M560">_xlfn.IFS(A560&lt;30,"Young",A560&lt;=50,"Adult",A560&gt;50,"Senior")</f>
        <v>Adult</v>
      </c>
    </row>
    <row r="561" spans="1:13" x14ac:dyDescent="0.3">
      <c r="A561">
        <v>19</v>
      </c>
      <c r="B561" t="s">
        <v>12</v>
      </c>
      <c r="C561">
        <v>35.53</v>
      </c>
      <c r="D561">
        <v>0</v>
      </c>
      <c r="E561" t="s">
        <v>19</v>
      </c>
      <c r="F561" t="s">
        <v>8</v>
      </c>
      <c r="G561">
        <v>1646.4296999999999</v>
      </c>
      <c r="H561">
        <v>130.5</v>
      </c>
      <c r="I561" t="s">
        <v>3</v>
      </c>
      <c r="J561" t="b">
        <v>1</v>
      </c>
      <c r="K561" t="s">
        <v>14</v>
      </c>
      <c r="L561">
        <v>176155.32</v>
      </c>
      <c r="M561" t="str" cm="1">
        <f t="array" ref="M561">_xlfn.IFS(A561&lt;30,"Young",A561&lt;=50,"Adult",A561&gt;50,"Senior")</f>
        <v>Young</v>
      </c>
    </row>
    <row r="562" spans="1:13" x14ac:dyDescent="0.3">
      <c r="A562">
        <v>46</v>
      </c>
      <c r="B562" t="s">
        <v>11</v>
      </c>
      <c r="C562">
        <v>19.95</v>
      </c>
      <c r="D562">
        <v>2</v>
      </c>
      <c r="E562" t="s">
        <v>19</v>
      </c>
      <c r="F562" t="s">
        <v>8</v>
      </c>
      <c r="G562">
        <v>9193.8384999999998</v>
      </c>
      <c r="H562">
        <v>112.3</v>
      </c>
      <c r="I562" t="s">
        <v>3</v>
      </c>
      <c r="J562" t="b">
        <v>0</v>
      </c>
      <c r="K562" t="s">
        <v>14</v>
      </c>
      <c r="L562">
        <v>62580</v>
      </c>
      <c r="M562" t="str" cm="1">
        <f t="array" ref="M562">_xlfn.IFS(A562&lt;30,"Young",A562&lt;=50,"Adult",A562&gt;50,"Senior")</f>
        <v>Adult</v>
      </c>
    </row>
    <row r="563" spans="1:13" x14ac:dyDescent="0.3">
      <c r="A563">
        <v>54</v>
      </c>
      <c r="B563" t="s">
        <v>11</v>
      </c>
      <c r="C563">
        <v>32.68</v>
      </c>
      <c r="D563">
        <v>0</v>
      </c>
      <c r="E563" t="s">
        <v>19</v>
      </c>
      <c r="F563" t="s">
        <v>9</v>
      </c>
      <c r="G563">
        <v>10923.933199999999</v>
      </c>
      <c r="H563">
        <v>119.6</v>
      </c>
      <c r="I563" t="s">
        <v>0</v>
      </c>
      <c r="J563" t="b">
        <v>1</v>
      </c>
      <c r="K563" t="s">
        <v>16</v>
      </c>
      <c r="L563">
        <v>30137.71</v>
      </c>
      <c r="M563" t="str" cm="1">
        <f t="array" ref="M563">_xlfn.IFS(A563&lt;30,"Young",A563&lt;=50,"Adult",A563&gt;50,"Senior")</f>
        <v>Senior</v>
      </c>
    </row>
    <row r="564" spans="1:13" x14ac:dyDescent="0.3">
      <c r="A564">
        <v>27</v>
      </c>
      <c r="B564" t="s">
        <v>12</v>
      </c>
      <c r="C564">
        <v>30.5</v>
      </c>
      <c r="D564">
        <v>0</v>
      </c>
      <c r="E564" t="s">
        <v>19</v>
      </c>
      <c r="F564" t="s">
        <v>6</v>
      </c>
      <c r="G564">
        <v>2494.0219999999999</v>
      </c>
      <c r="H564">
        <v>121.2</v>
      </c>
      <c r="I564" t="s">
        <v>1</v>
      </c>
      <c r="J564" t="b">
        <v>0</v>
      </c>
      <c r="K564" t="s">
        <v>15</v>
      </c>
      <c r="L564">
        <v>174588.76</v>
      </c>
      <c r="M564" t="str" cm="1">
        <f t="array" ref="M564">_xlfn.IFS(A564&lt;30,"Young",A564&lt;=50,"Adult",A564&gt;50,"Senior")</f>
        <v>Young</v>
      </c>
    </row>
    <row r="565" spans="1:13" x14ac:dyDescent="0.3">
      <c r="A565">
        <v>50</v>
      </c>
      <c r="B565" t="s">
        <v>12</v>
      </c>
      <c r="C565">
        <v>44.77</v>
      </c>
      <c r="D565">
        <v>1</v>
      </c>
      <c r="E565" t="s">
        <v>19</v>
      </c>
      <c r="F565" t="s">
        <v>7</v>
      </c>
      <c r="G565">
        <v>9058.7302999999993</v>
      </c>
      <c r="H565">
        <v>130.6</v>
      </c>
      <c r="I565" t="s">
        <v>2</v>
      </c>
      <c r="J565" t="b">
        <v>0</v>
      </c>
      <c r="K565" t="s">
        <v>15</v>
      </c>
      <c r="L565">
        <v>94061.88</v>
      </c>
      <c r="M565" t="str" cm="1">
        <f t="array" ref="M565">_xlfn.IFS(A565&lt;30,"Young",A565&lt;=50,"Adult",A565&gt;50,"Senior")</f>
        <v>Adult</v>
      </c>
    </row>
    <row r="566" spans="1:13" x14ac:dyDescent="0.3">
      <c r="A566">
        <v>18</v>
      </c>
      <c r="B566" t="s">
        <v>11</v>
      </c>
      <c r="C566">
        <v>32.119999999999997</v>
      </c>
      <c r="D566">
        <v>2</v>
      </c>
      <c r="E566" t="s">
        <v>19</v>
      </c>
      <c r="F566" t="s">
        <v>7</v>
      </c>
      <c r="G566">
        <v>2801.2588000000001</v>
      </c>
      <c r="H566">
        <v>134.4</v>
      </c>
      <c r="I566" t="s">
        <v>0</v>
      </c>
      <c r="J566" t="b">
        <v>1</v>
      </c>
      <c r="K566" t="s">
        <v>15</v>
      </c>
      <c r="L566">
        <v>62615.21</v>
      </c>
      <c r="M566" t="str" cm="1">
        <f t="array" ref="M566">_xlfn.IFS(A566&lt;30,"Young",A566&lt;=50,"Adult",A566&gt;50,"Senior")</f>
        <v>Young</v>
      </c>
    </row>
    <row r="567" spans="1:13" x14ac:dyDescent="0.3">
      <c r="A567">
        <v>19</v>
      </c>
      <c r="B567" t="s">
        <v>11</v>
      </c>
      <c r="C567">
        <v>30.495000000000001</v>
      </c>
      <c r="D567">
        <v>0</v>
      </c>
      <c r="E567" t="s">
        <v>19</v>
      </c>
      <c r="F567" t="s">
        <v>8</v>
      </c>
      <c r="G567">
        <v>2128.4310500000001</v>
      </c>
      <c r="H567">
        <v>127</v>
      </c>
      <c r="I567" t="s">
        <v>1</v>
      </c>
      <c r="J567" t="b">
        <v>0</v>
      </c>
      <c r="K567" t="s">
        <v>16</v>
      </c>
      <c r="L567">
        <v>181353.69</v>
      </c>
      <c r="M567" t="str" cm="1">
        <f t="array" ref="M567">_xlfn.IFS(A567&lt;30,"Young",A567&lt;=50,"Adult",A567&gt;50,"Senior")</f>
        <v>Young</v>
      </c>
    </row>
    <row r="568" spans="1:13" x14ac:dyDescent="0.3">
      <c r="A568">
        <v>38</v>
      </c>
      <c r="B568" t="s">
        <v>11</v>
      </c>
      <c r="C568">
        <v>40.564999999999998</v>
      </c>
      <c r="D568">
        <v>1</v>
      </c>
      <c r="E568" t="s">
        <v>19</v>
      </c>
      <c r="F568" t="s">
        <v>8</v>
      </c>
      <c r="G568">
        <v>6373.55735</v>
      </c>
      <c r="H568">
        <v>126.3</v>
      </c>
      <c r="I568" t="s">
        <v>1</v>
      </c>
      <c r="J568" t="b">
        <v>1</v>
      </c>
      <c r="K568" t="s">
        <v>15</v>
      </c>
      <c r="L568">
        <v>188927.82</v>
      </c>
      <c r="M568" t="str" cm="1">
        <f t="array" ref="M568">_xlfn.IFS(A568&lt;30,"Young",A568&lt;=50,"Adult",A568&gt;50,"Senior")</f>
        <v>Adult</v>
      </c>
    </row>
    <row r="569" spans="1:13" x14ac:dyDescent="0.3">
      <c r="A569">
        <v>41</v>
      </c>
      <c r="B569" t="s">
        <v>12</v>
      </c>
      <c r="C569">
        <v>30.59</v>
      </c>
      <c r="D569">
        <v>2</v>
      </c>
      <c r="E569" t="s">
        <v>19</v>
      </c>
      <c r="F569" t="s">
        <v>8</v>
      </c>
      <c r="G569">
        <v>7256.7231000000002</v>
      </c>
      <c r="H569">
        <v>110.5</v>
      </c>
      <c r="I569" t="s">
        <v>1</v>
      </c>
      <c r="J569" t="b">
        <v>1</v>
      </c>
      <c r="K569" t="s">
        <v>16</v>
      </c>
      <c r="L569">
        <v>89340.08</v>
      </c>
      <c r="M569" t="str" cm="1">
        <f t="array" ref="M569">_xlfn.IFS(A569&lt;30,"Young",A569&lt;=50,"Adult",A569&gt;50,"Senior")</f>
        <v>Adult</v>
      </c>
    </row>
    <row r="570" spans="1:13" x14ac:dyDescent="0.3">
      <c r="A570">
        <v>49</v>
      </c>
      <c r="B570" t="s">
        <v>11</v>
      </c>
      <c r="C570">
        <v>31.9</v>
      </c>
      <c r="D570">
        <v>5</v>
      </c>
      <c r="E570" t="s">
        <v>19</v>
      </c>
      <c r="F570" t="s">
        <v>6</v>
      </c>
      <c r="G570">
        <v>11552.904</v>
      </c>
      <c r="H570">
        <v>130.30000000000001</v>
      </c>
      <c r="I570" t="s">
        <v>2</v>
      </c>
      <c r="J570" t="b">
        <v>1</v>
      </c>
      <c r="K570" t="s">
        <v>15</v>
      </c>
      <c r="L570">
        <v>74735.73</v>
      </c>
      <c r="M570" t="str" cm="1">
        <f t="array" ref="M570">_xlfn.IFS(A570&lt;30,"Young",A570&lt;=50,"Adult",A570&gt;50,"Senior")</f>
        <v>Adult</v>
      </c>
    </row>
    <row r="571" spans="1:13" x14ac:dyDescent="0.3">
      <c r="A571">
        <v>48</v>
      </c>
      <c r="B571" t="s">
        <v>12</v>
      </c>
      <c r="C571">
        <v>40.564999999999998</v>
      </c>
      <c r="D571">
        <v>2</v>
      </c>
      <c r="E571" t="s">
        <v>18</v>
      </c>
      <c r="F571" t="s">
        <v>8</v>
      </c>
      <c r="G571">
        <v>45702.022349999999</v>
      </c>
      <c r="H571">
        <v>120.5</v>
      </c>
      <c r="I571" t="s">
        <v>1</v>
      </c>
      <c r="J571" t="b">
        <v>0</v>
      </c>
      <c r="K571" t="s">
        <v>16</v>
      </c>
      <c r="L571">
        <v>170343.76</v>
      </c>
      <c r="M571" t="str" cm="1">
        <f t="array" ref="M571">_xlfn.IFS(A571&lt;30,"Young",A571&lt;=50,"Adult",A571&gt;50,"Senior")</f>
        <v>Adult</v>
      </c>
    </row>
    <row r="572" spans="1:13" x14ac:dyDescent="0.3">
      <c r="A572">
        <v>31</v>
      </c>
      <c r="B572" t="s">
        <v>11</v>
      </c>
      <c r="C572">
        <v>29.1</v>
      </c>
      <c r="D572">
        <v>0</v>
      </c>
      <c r="E572" t="s">
        <v>19</v>
      </c>
      <c r="F572" t="s">
        <v>6</v>
      </c>
      <c r="G572">
        <v>3761.2919999999999</v>
      </c>
      <c r="H572">
        <v>134.9</v>
      </c>
      <c r="I572" t="s">
        <v>2</v>
      </c>
      <c r="J572" t="b">
        <v>0</v>
      </c>
      <c r="K572" t="s">
        <v>15</v>
      </c>
      <c r="L572">
        <v>62469.27</v>
      </c>
      <c r="M572" t="str" cm="1">
        <f t="array" ref="M572">_xlfn.IFS(A572&lt;30,"Young",A572&lt;=50,"Adult",A572&gt;50,"Senior")</f>
        <v>Adult</v>
      </c>
    </row>
    <row r="573" spans="1:13" x14ac:dyDescent="0.3">
      <c r="A573">
        <v>18</v>
      </c>
      <c r="B573" t="s">
        <v>11</v>
      </c>
      <c r="C573">
        <v>37.29</v>
      </c>
      <c r="D573">
        <v>1</v>
      </c>
      <c r="E573" t="s">
        <v>19</v>
      </c>
      <c r="F573" t="s">
        <v>7</v>
      </c>
      <c r="G573">
        <v>2219.4450999999999</v>
      </c>
      <c r="H573">
        <v>122.6</v>
      </c>
      <c r="I573" t="s">
        <v>0</v>
      </c>
      <c r="J573" t="b">
        <v>1</v>
      </c>
      <c r="K573" t="s">
        <v>15</v>
      </c>
      <c r="L573">
        <v>33952.699999999997</v>
      </c>
      <c r="M573" t="str" cm="1">
        <f t="array" ref="M573">_xlfn.IFS(A573&lt;30,"Young",A573&lt;=50,"Adult",A573&gt;50,"Senior")</f>
        <v>Young</v>
      </c>
    </row>
    <row r="574" spans="1:13" x14ac:dyDescent="0.3">
      <c r="A574">
        <v>30</v>
      </c>
      <c r="B574" t="s">
        <v>11</v>
      </c>
      <c r="C574">
        <v>43.12</v>
      </c>
      <c r="D574">
        <v>2</v>
      </c>
      <c r="E574" t="s">
        <v>19</v>
      </c>
      <c r="F574" t="s">
        <v>7</v>
      </c>
      <c r="G574">
        <v>4753.6368000000002</v>
      </c>
      <c r="H574">
        <v>132.19999999999999</v>
      </c>
      <c r="I574" t="s">
        <v>3</v>
      </c>
      <c r="J574" t="b">
        <v>1</v>
      </c>
      <c r="K574" t="s">
        <v>14</v>
      </c>
      <c r="L574">
        <v>178975.76</v>
      </c>
      <c r="M574" t="str" cm="1">
        <f t="array" ref="M574">_xlfn.IFS(A574&lt;30,"Young",A574&lt;=50,"Adult",A574&gt;50,"Senior")</f>
        <v>Adult</v>
      </c>
    </row>
    <row r="575" spans="1:13" x14ac:dyDescent="0.3">
      <c r="A575">
        <v>62</v>
      </c>
      <c r="B575" t="s">
        <v>11</v>
      </c>
      <c r="C575">
        <v>36.86</v>
      </c>
      <c r="D575">
        <v>1</v>
      </c>
      <c r="E575" t="s">
        <v>19</v>
      </c>
      <c r="F575" t="s">
        <v>9</v>
      </c>
      <c r="G575">
        <v>31620.001059999999</v>
      </c>
      <c r="H575">
        <v>126</v>
      </c>
      <c r="I575" t="s">
        <v>1</v>
      </c>
      <c r="J575" t="b">
        <v>0</v>
      </c>
      <c r="K575" t="s">
        <v>14</v>
      </c>
      <c r="L575">
        <v>170484.24</v>
      </c>
      <c r="M575" t="str" cm="1">
        <f t="array" ref="M575">_xlfn.IFS(A575&lt;30,"Young",A575&lt;=50,"Adult",A575&gt;50,"Senior")</f>
        <v>Senior</v>
      </c>
    </row>
    <row r="576" spans="1:13" x14ac:dyDescent="0.3">
      <c r="A576">
        <v>57</v>
      </c>
      <c r="B576" t="s">
        <v>11</v>
      </c>
      <c r="C576">
        <v>34.295000000000002</v>
      </c>
      <c r="D576">
        <v>2</v>
      </c>
      <c r="E576" t="s">
        <v>19</v>
      </c>
      <c r="F576" t="s">
        <v>9</v>
      </c>
      <c r="G576">
        <v>13224.057049999999</v>
      </c>
      <c r="H576">
        <v>131.80000000000001</v>
      </c>
      <c r="I576" t="s">
        <v>0</v>
      </c>
      <c r="J576" t="b">
        <v>1</v>
      </c>
      <c r="K576" t="s">
        <v>14</v>
      </c>
      <c r="L576">
        <v>172963.69</v>
      </c>
      <c r="M576" t="str" cm="1">
        <f t="array" ref="M576">_xlfn.IFS(A576&lt;30,"Young",A576&lt;=50,"Adult",A576&gt;50,"Senior")</f>
        <v>Senior</v>
      </c>
    </row>
    <row r="577" spans="1:13" x14ac:dyDescent="0.3">
      <c r="A577">
        <v>58</v>
      </c>
      <c r="B577" t="s">
        <v>11</v>
      </c>
      <c r="C577">
        <v>27.17</v>
      </c>
      <c r="D577">
        <v>0</v>
      </c>
      <c r="E577" t="s">
        <v>19</v>
      </c>
      <c r="F577" t="s">
        <v>8</v>
      </c>
      <c r="G577">
        <v>12222.898300000001</v>
      </c>
      <c r="H577">
        <v>111.7</v>
      </c>
      <c r="I577" t="s">
        <v>2</v>
      </c>
      <c r="J577" t="b">
        <v>0</v>
      </c>
      <c r="K577" t="s">
        <v>16</v>
      </c>
      <c r="L577">
        <v>56625.52</v>
      </c>
      <c r="M577" t="str" cm="1">
        <f t="array" ref="M577">_xlfn.IFS(A577&lt;30,"Young",A577&lt;=50,"Adult",A577&gt;50,"Senior")</f>
        <v>Senior</v>
      </c>
    </row>
    <row r="578" spans="1:13" x14ac:dyDescent="0.3">
      <c r="A578">
        <v>22</v>
      </c>
      <c r="B578" t="s">
        <v>12</v>
      </c>
      <c r="C578">
        <v>26.84</v>
      </c>
      <c r="D578">
        <v>0</v>
      </c>
      <c r="E578" t="s">
        <v>19</v>
      </c>
      <c r="F578" t="s">
        <v>7</v>
      </c>
      <c r="G578">
        <v>1664.9996000000001</v>
      </c>
      <c r="H578">
        <v>129.30000000000001</v>
      </c>
      <c r="I578" t="s">
        <v>1</v>
      </c>
      <c r="J578" t="b">
        <v>1</v>
      </c>
      <c r="K578" t="s">
        <v>15</v>
      </c>
      <c r="L578">
        <v>91551.97</v>
      </c>
      <c r="M578" t="str" cm="1">
        <f t="array" ref="M578">_xlfn.IFS(A578&lt;30,"Young",A578&lt;=50,"Adult",A578&gt;50,"Senior")</f>
        <v>Young</v>
      </c>
    </row>
    <row r="579" spans="1:13" x14ac:dyDescent="0.3">
      <c r="A579">
        <v>31</v>
      </c>
      <c r="B579" t="s">
        <v>11</v>
      </c>
      <c r="C579">
        <v>38.094999999999999</v>
      </c>
      <c r="D579">
        <v>1</v>
      </c>
      <c r="E579" t="s">
        <v>18</v>
      </c>
      <c r="F579" t="s">
        <v>9</v>
      </c>
      <c r="G579">
        <v>58571.074480000003</v>
      </c>
      <c r="H579">
        <v>113.4</v>
      </c>
      <c r="I579" t="s">
        <v>3</v>
      </c>
      <c r="J579" t="b">
        <v>0</v>
      </c>
      <c r="K579" t="s">
        <v>15</v>
      </c>
      <c r="L579">
        <v>186958.83</v>
      </c>
      <c r="M579" t="str" cm="1">
        <f t="array" ref="M579">_xlfn.IFS(A579&lt;30,"Young",A579&lt;=50,"Adult",A579&gt;50,"Senior")</f>
        <v>Adult</v>
      </c>
    </row>
    <row r="580" spans="1:13" x14ac:dyDescent="0.3">
      <c r="A580">
        <v>52</v>
      </c>
      <c r="B580" t="s">
        <v>12</v>
      </c>
      <c r="C580">
        <v>30.2</v>
      </c>
      <c r="D580">
        <v>1</v>
      </c>
      <c r="E580" t="s">
        <v>19</v>
      </c>
      <c r="F580" t="s">
        <v>6</v>
      </c>
      <c r="G580">
        <v>9724.5300000000007</v>
      </c>
      <c r="H580">
        <v>125.8</v>
      </c>
      <c r="I580" t="s">
        <v>0</v>
      </c>
      <c r="J580" t="b">
        <v>1</v>
      </c>
      <c r="K580" t="s">
        <v>15</v>
      </c>
      <c r="L580">
        <v>122694.76</v>
      </c>
      <c r="M580" t="str" cm="1">
        <f t="array" ref="M580">_xlfn.IFS(A580&lt;30,"Young",A580&lt;=50,"Adult",A580&gt;50,"Senior")</f>
        <v>Senior</v>
      </c>
    </row>
    <row r="581" spans="1:13" x14ac:dyDescent="0.3">
      <c r="A581">
        <v>25</v>
      </c>
      <c r="B581" t="s">
        <v>11</v>
      </c>
      <c r="C581">
        <v>23.465</v>
      </c>
      <c r="D581">
        <v>0</v>
      </c>
      <c r="E581" t="s">
        <v>19</v>
      </c>
      <c r="F581" t="s">
        <v>9</v>
      </c>
      <c r="G581">
        <v>3206.4913499999998</v>
      </c>
      <c r="H581">
        <v>126.4</v>
      </c>
      <c r="I581" t="s">
        <v>1</v>
      </c>
      <c r="J581" t="b">
        <v>1</v>
      </c>
      <c r="K581" t="s">
        <v>15</v>
      </c>
      <c r="L581">
        <v>143893.34</v>
      </c>
      <c r="M581" t="str" cm="1">
        <f t="array" ref="M581">_xlfn.IFS(A581&lt;30,"Young",A581&lt;=50,"Adult",A581&gt;50,"Senior")</f>
        <v>Young</v>
      </c>
    </row>
    <row r="582" spans="1:13" x14ac:dyDescent="0.3">
      <c r="A582">
        <v>59</v>
      </c>
      <c r="B582" t="s">
        <v>12</v>
      </c>
      <c r="C582">
        <v>25.46</v>
      </c>
      <c r="D582">
        <v>1</v>
      </c>
      <c r="E582" t="s">
        <v>19</v>
      </c>
      <c r="F582" t="s">
        <v>9</v>
      </c>
      <c r="G582">
        <v>12913.992399999999</v>
      </c>
      <c r="H582">
        <v>128.5</v>
      </c>
      <c r="I582" t="s">
        <v>1</v>
      </c>
      <c r="J582" t="b">
        <v>0</v>
      </c>
      <c r="K582" t="s">
        <v>15</v>
      </c>
      <c r="L582">
        <v>40517.26</v>
      </c>
      <c r="M582" t="str" cm="1">
        <f t="array" ref="M582">_xlfn.IFS(A582&lt;30,"Young",A582&lt;=50,"Adult",A582&gt;50,"Senior")</f>
        <v>Senior</v>
      </c>
    </row>
    <row r="583" spans="1:13" x14ac:dyDescent="0.3">
      <c r="A583">
        <v>19</v>
      </c>
      <c r="B583" t="s">
        <v>12</v>
      </c>
      <c r="C583">
        <v>30.59</v>
      </c>
      <c r="D583">
        <v>0</v>
      </c>
      <c r="E583" t="s">
        <v>19</v>
      </c>
      <c r="F583" t="s">
        <v>8</v>
      </c>
      <c r="G583">
        <v>1639.5631000000001</v>
      </c>
      <c r="H583">
        <v>135.5</v>
      </c>
      <c r="I583" t="s">
        <v>1</v>
      </c>
      <c r="J583" t="b">
        <v>1</v>
      </c>
      <c r="K583" t="s">
        <v>14</v>
      </c>
      <c r="L583">
        <v>78211.990000000005</v>
      </c>
      <c r="M583" t="str" cm="1">
        <f t="array" ref="M583">_xlfn.IFS(A583&lt;30,"Young",A583&lt;=50,"Adult",A583&gt;50,"Senior")</f>
        <v>Young</v>
      </c>
    </row>
    <row r="584" spans="1:13" x14ac:dyDescent="0.3">
      <c r="A584">
        <v>39</v>
      </c>
      <c r="B584" t="s">
        <v>12</v>
      </c>
      <c r="C584">
        <v>45.43</v>
      </c>
      <c r="D584">
        <v>2</v>
      </c>
      <c r="E584" t="s">
        <v>19</v>
      </c>
      <c r="F584" t="s">
        <v>7</v>
      </c>
      <c r="G584">
        <v>6356.2707</v>
      </c>
      <c r="H584">
        <v>116.8</v>
      </c>
      <c r="I584" t="s">
        <v>3</v>
      </c>
      <c r="J584" t="b">
        <v>0</v>
      </c>
      <c r="K584" t="s">
        <v>16</v>
      </c>
      <c r="L584">
        <v>199189.86</v>
      </c>
      <c r="M584" t="str" cm="1">
        <f t="array" ref="M584">_xlfn.IFS(A584&lt;30,"Young",A584&lt;=50,"Adult",A584&gt;50,"Senior")</f>
        <v>Adult</v>
      </c>
    </row>
    <row r="585" spans="1:13" x14ac:dyDescent="0.3">
      <c r="A585">
        <v>32</v>
      </c>
      <c r="B585" t="s">
        <v>11</v>
      </c>
      <c r="C585">
        <v>23.65</v>
      </c>
      <c r="D585">
        <v>1</v>
      </c>
      <c r="E585" t="s">
        <v>19</v>
      </c>
      <c r="F585" t="s">
        <v>7</v>
      </c>
      <c r="G585">
        <v>17626.239509999999</v>
      </c>
      <c r="H585">
        <v>139.80000000000001</v>
      </c>
      <c r="I585" t="s">
        <v>1</v>
      </c>
      <c r="J585" t="b">
        <v>0</v>
      </c>
      <c r="K585" t="s">
        <v>15</v>
      </c>
      <c r="L585">
        <v>77879.19</v>
      </c>
      <c r="M585" t="str" cm="1">
        <f t="array" ref="M585">_xlfn.IFS(A585&lt;30,"Young",A585&lt;=50,"Adult",A585&gt;50,"Senior")</f>
        <v>Adult</v>
      </c>
    </row>
    <row r="586" spans="1:13" x14ac:dyDescent="0.3">
      <c r="A586">
        <v>19</v>
      </c>
      <c r="B586" t="s">
        <v>12</v>
      </c>
      <c r="C586">
        <v>20.7</v>
      </c>
      <c r="D586">
        <v>0</v>
      </c>
      <c r="E586" t="s">
        <v>19</v>
      </c>
      <c r="F586" t="s">
        <v>6</v>
      </c>
      <c r="G586">
        <v>1242.816</v>
      </c>
      <c r="H586">
        <v>112.1</v>
      </c>
      <c r="I586" t="s">
        <v>2</v>
      </c>
      <c r="J586" t="b">
        <v>1</v>
      </c>
      <c r="K586" t="s">
        <v>16</v>
      </c>
      <c r="L586">
        <v>41009.86</v>
      </c>
      <c r="M586" t="str" cm="1">
        <f t="array" ref="M586">_xlfn.IFS(A586&lt;30,"Young",A586&lt;=50,"Adult",A586&gt;50,"Senior")</f>
        <v>Young</v>
      </c>
    </row>
    <row r="587" spans="1:13" x14ac:dyDescent="0.3">
      <c r="A587">
        <v>33</v>
      </c>
      <c r="B587" t="s">
        <v>11</v>
      </c>
      <c r="C587">
        <v>28.27</v>
      </c>
      <c r="D587">
        <v>1</v>
      </c>
      <c r="E587" t="s">
        <v>19</v>
      </c>
      <c r="F587" t="s">
        <v>7</v>
      </c>
      <c r="G587">
        <v>4779.6022999999996</v>
      </c>
      <c r="H587">
        <v>130.1</v>
      </c>
      <c r="I587" t="s">
        <v>1</v>
      </c>
      <c r="J587" t="b">
        <v>0</v>
      </c>
      <c r="K587" t="s">
        <v>16</v>
      </c>
      <c r="L587">
        <v>190057.72</v>
      </c>
      <c r="M587" t="str" cm="1">
        <f t="array" ref="M587">_xlfn.IFS(A587&lt;30,"Young",A587&lt;=50,"Adult",A587&gt;50,"Senior")</f>
        <v>Adult</v>
      </c>
    </row>
    <row r="588" spans="1:13" x14ac:dyDescent="0.3">
      <c r="A588">
        <v>21</v>
      </c>
      <c r="B588" t="s">
        <v>12</v>
      </c>
      <c r="C588">
        <v>20.234999999999999</v>
      </c>
      <c r="D588">
        <v>3</v>
      </c>
      <c r="E588" t="s">
        <v>19</v>
      </c>
      <c r="F588" t="s">
        <v>9</v>
      </c>
      <c r="G588">
        <v>3861.2096499999998</v>
      </c>
      <c r="H588">
        <v>122.2</v>
      </c>
      <c r="I588" t="s">
        <v>1</v>
      </c>
      <c r="J588" t="b">
        <v>1</v>
      </c>
      <c r="K588" t="s">
        <v>16</v>
      </c>
      <c r="L588">
        <v>142104.57</v>
      </c>
      <c r="M588" t="str" cm="1">
        <f t="array" ref="M588">_xlfn.IFS(A588&lt;30,"Young",A588&lt;=50,"Adult",A588&gt;50,"Senior")</f>
        <v>Young</v>
      </c>
    </row>
    <row r="589" spans="1:13" x14ac:dyDescent="0.3">
      <c r="A589">
        <v>34</v>
      </c>
      <c r="B589" t="s">
        <v>11</v>
      </c>
      <c r="C589">
        <v>30.21</v>
      </c>
      <c r="D589">
        <v>1</v>
      </c>
      <c r="E589" t="s">
        <v>18</v>
      </c>
      <c r="F589" t="s">
        <v>8</v>
      </c>
      <c r="G589">
        <v>43943.876100000001</v>
      </c>
      <c r="H589">
        <v>126.3</v>
      </c>
      <c r="I589" t="s">
        <v>1</v>
      </c>
      <c r="J589" t="b">
        <v>0</v>
      </c>
      <c r="K589" t="s">
        <v>16</v>
      </c>
      <c r="L589">
        <v>158433.07999999999</v>
      </c>
      <c r="M589" t="str" cm="1">
        <f t="array" ref="M589">_xlfn.IFS(A589&lt;30,"Young",A589&lt;=50,"Adult",A589&gt;50,"Senior")</f>
        <v>Adult</v>
      </c>
    </row>
    <row r="590" spans="1:13" x14ac:dyDescent="0.3">
      <c r="A590">
        <v>61</v>
      </c>
      <c r="B590" t="s">
        <v>11</v>
      </c>
      <c r="C590">
        <v>35.909999999999997</v>
      </c>
      <c r="D590">
        <v>0</v>
      </c>
      <c r="E590" t="s">
        <v>19</v>
      </c>
      <c r="F590" t="s">
        <v>9</v>
      </c>
      <c r="G590">
        <v>13635.6379</v>
      </c>
      <c r="H590">
        <v>122.3</v>
      </c>
      <c r="I590" t="s">
        <v>1</v>
      </c>
      <c r="J590" t="b">
        <v>1</v>
      </c>
      <c r="K590" t="s">
        <v>16</v>
      </c>
      <c r="L590">
        <v>33407.67</v>
      </c>
      <c r="M590" t="str" cm="1">
        <f t="array" ref="M590">_xlfn.IFS(A590&lt;30,"Young",A590&lt;=50,"Adult",A590&gt;50,"Senior")</f>
        <v>Senior</v>
      </c>
    </row>
    <row r="591" spans="1:13" x14ac:dyDescent="0.3">
      <c r="A591">
        <v>38</v>
      </c>
      <c r="B591" t="s">
        <v>11</v>
      </c>
      <c r="C591">
        <v>30.69</v>
      </c>
      <c r="D591">
        <v>1</v>
      </c>
      <c r="E591" t="s">
        <v>19</v>
      </c>
      <c r="F591" t="s">
        <v>7</v>
      </c>
      <c r="G591">
        <v>5976.8311000000003</v>
      </c>
      <c r="H591">
        <v>111.8</v>
      </c>
      <c r="I591" t="s">
        <v>2</v>
      </c>
      <c r="J591" t="b">
        <v>1</v>
      </c>
      <c r="K591" t="s">
        <v>14</v>
      </c>
      <c r="L591">
        <v>112831.17</v>
      </c>
      <c r="M591" t="str" cm="1">
        <f t="array" ref="M591">_xlfn.IFS(A591&lt;30,"Young",A591&lt;=50,"Adult",A591&gt;50,"Senior")</f>
        <v>Adult</v>
      </c>
    </row>
    <row r="592" spans="1:13" x14ac:dyDescent="0.3">
      <c r="A592">
        <v>58</v>
      </c>
      <c r="B592" t="s">
        <v>11</v>
      </c>
      <c r="C592">
        <v>29</v>
      </c>
      <c r="D592">
        <v>0</v>
      </c>
      <c r="E592" t="s">
        <v>19</v>
      </c>
      <c r="F592" t="s">
        <v>6</v>
      </c>
      <c r="G592">
        <v>11842.441999999999</v>
      </c>
      <c r="H592">
        <v>134.9</v>
      </c>
      <c r="I592" t="s">
        <v>0</v>
      </c>
      <c r="J592" t="b">
        <v>1</v>
      </c>
      <c r="K592" t="s">
        <v>14</v>
      </c>
      <c r="L592">
        <v>118813.55</v>
      </c>
      <c r="M592" t="str" cm="1">
        <f t="array" ref="M592">_xlfn.IFS(A592&lt;30,"Young",A592&lt;=50,"Adult",A592&gt;50,"Senior")</f>
        <v>Senior</v>
      </c>
    </row>
    <row r="593" spans="1:13" x14ac:dyDescent="0.3">
      <c r="A593">
        <v>47</v>
      </c>
      <c r="B593" t="s">
        <v>12</v>
      </c>
      <c r="C593">
        <v>19.57</v>
      </c>
      <c r="D593">
        <v>1</v>
      </c>
      <c r="E593" t="s">
        <v>19</v>
      </c>
      <c r="F593" t="s">
        <v>8</v>
      </c>
      <c r="G593">
        <v>8428.0692999999992</v>
      </c>
      <c r="H593">
        <v>129.9</v>
      </c>
      <c r="I593" t="s">
        <v>0</v>
      </c>
      <c r="J593" t="b">
        <v>1</v>
      </c>
      <c r="K593" t="s">
        <v>16</v>
      </c>
      <c r="L593">
        <v>50733.18</v>
      </c>
      <c r="M593" t="str" cm="1">
        <f t="array" ref="M593">_xlfn.IFS(A593&lt;30,"Young",A593&lt;=50,"Adult",A593&gt;50,"Senior")</f>
        <v>Adult</v>
      </c>
    </row>
    <row r="594" spans="1:13" x14ac:dyDescent="0.3">
      <c r="A594">
        <v>20</v>
      </c>
      <c r="B594" t="s">
        <v>12</v>
      </c>
      <c r="C594">
        <v>31.13</v>
      </c>
      <c r="D594">
        <v>2</v>
      </c>
      <c r="E594" t="s">
        <v>19</v>
      </c>
      <c r="F594" t="s">
        <v>7</v>
      </c>
      <c r="G594">
        <v>2566.4706999999999</v>
      </c>
      <c r="H594">
        <v>125.3</v>
      </c>
      <c r="I594" t="s">
        <v>1</v>
      </c>
      <c r="J594" t="b">
        <v>1</v>
      </c>
      <c r="K594" t="s">
        <v>16</v>
      </c>
      <c r="L594">
        <v>32676.26</v>
      </c>
      <c r="M594" t="str" cm="1">
        <f t="array" ref="M594">_xlfn.IFS(A594&lt;30,"Young",A594&lt;=50,"Adult",A594&gt;50,"Senior")</f>
        <v>Young</v>
      </c>
    </row>
    <row r="595" spans="1:13" x14ac:dyDescent="0.3">
      <c r="A595">
        <v>21</v>
      </c>
      <c r="B595" t="s">
        <v>11</v>
      </c>
      <c r="C595">
        <v>21.85</v>
      </c>
      <c r="D595">
        <v>1</v>
      </c>
      <c r="E595" t="s">
        <v>18</v>
      </c>
      <c r="F595" t="s">
        <v>9</v>
      </c>
      <c r="G595">
        <v>15359.104499999999</v>
      </c>
      <c r="H595">
        <v>128.9</v>
      </c>
      <c r="I595" t="s">
        <v>3</v>
      </c>
      <c r="J595" t="b">
        <v>0</v>
      </c>
      <c r="K595" t="s">
        <v>15</v>
      </c>
      <c r="L595">
        <v>42303.29</v>
      </c>
      <c r="M595" t="str" cm="1">
        <f t="array" ref="M595">_xlfn.IFS(A595&lt;30,"Young",A595&lt;=50,"Adult",A595&gt;50,"Senior")</f>
        <v>Young</v>
      </c>
    </row>
    <row r="596" spans="1:13" x14ac:dyDescent="0.3">
      <c r="A596">
        <v>41</v>
      </c>
      <c r="B596" t="s">
        <v>12</v>
      </c>
      <c r="C596">
        <v>40.26</v>
      </c>
      <c r="D596">
        <v>0</v>
      </c>
      <c r="E596" t="s">
        <v>19</v>
      </c>
      <c r="F596" t="s">
        <v>7</v>
      </c>
      <c r="G596">
        <v>5709.1643999999997</v>
      </c>
      <c r="H596">
        <v>110.2</v>
      </c>
      <c r="I596" t="s">
        <v>1</v>
      </c>
      <c r="J596" t="b">
        <v>0</v>
      </c>
      <c r="K596" t="s">
        <v>14</v>
      </c>
      <c r="L596">
        <v>186024.27</v>
      </c>
      <c r="M596" t="str" cm="1">
        <f t="array" ref="M596">_xlfn.IFS(A596&lt;30,"Young",A596&lt;=50,"Adult",A596&gt;50,"Senior")</f>
        <v>Adult</v>
      </c>
    </row>
    <row r="597" spans="1:13" x14ac:dyDescent="0.3">
      <c r="A597">
        <v>46</v>
      </c>
      <c r="B597" t="s">
        <v>11</v>
      </c>
      <c r="C597">
        <v>33.725000000000001</v>
      </c>
      <c r="D597">
        <v>1</v>
      </c>
      <c r="E597" t="s">
        <v>19</v>
      </c>
      <c r="F597" t="s">
        <v>9</v>
      </c>
      <c r="G597">
        <v>8823.9857499999998</v>
      </c>
      <c r="H597">
        <v>111.8</v>
      </c>
      <c r="I597" t="s">
        <v>3</v>
      </c>
      <c r="J597" t="b">
        <v>1</v>
      </c>
      <c r="K597" t="s">
        <v>15</v>
      </c>
      <c r="L597">
        <v>194926.71</v>
      </c>
      <c r="M597" t="str" cm="1">
        <f t="array" ref="M597">_xlfn.IFS(A597&lt;30,"Young",A597&lt;=50,"Adult",A597&gt;50,"Senior")</f>
        <v>Adult</v>
      </c>
    </row>
    <row r="598" spans="1:13" x14ac:dyDescent="0.3">
      <c r="A598">
        <v>42</v>
      </c>
      <c r="B598" t="s">
        <v>11</v>
      </c>
      <c r="C598">
        <v>29.48</v>
      </c>
      <c r="D598">
        <v>2</v>
      </c>
      <c r="E598" t="s">
        <v>19</v>
      </c>
      <c r="F598" t="s">
        <v>7</v>
      </c>
      <c r="G598">
        <v>7640.3091999999997</v>
      </c>
      <c r="H598">
        <v>128.19999999999999</v>
      </c>
      <c r="I598" t="s">
        <v>2</v>
      </c>
      <c r="J598" t="b">
        <v>1</v>
      </c>
      <c r="K598" t="s">
        <v>16</v>
      </c>
      <c r="L598">
        <v>160319.78</v>
      </c>
      <c r="M598" t="str" cm="1">
        <f t="array" ref="M598">_xlfn.IFS(A598&lt;30,"Young",A598&lt;=50,"Adult",A598&gt;50,"Senior")</f>
        <v>Adult</v>
      </c>
    </row>
    <row r="599" spans="1:13" x14ac:dyDescent="0.3">
      <c r="A599">
        <v>34</v>
      </c>
      <c r="B599" t="s">
        <v>11</v>
      </c>
      <c r="C599">
        <v>33.25</v>
      </c>
      <c r="D599">
        <v>1</v>
      </c>
      <c r="E599" t="s">
        <v>19</v>
      </c>
      <c r="F599" t="s">
        <v>9</v>
      </c>
      <c r="G599">
        <v>5594.8455000000004</v>
      </c>
      <c r="H599">
        <v>122.2</v>
      </c>
      <c r="I599" t="s">
        <v>3</v>
      </c>
      <c r="J599" t="b">
        <v>1</v>
      </c>
      <c r="K599" t="s">
        <v>15</v>
      </c>
      <c r="L599">
        <v>171488.14</v>
      </c>
      <c r="M599" t="str" cm="1">
        <f t="array" ref="M599">_xlfn.IFS(A599&lt;30,"Young",A599&lt;=50,"Adult",A599&gt;50,"Senior")</f>
        <v>Adult</v>
      </c>
    </row>
    <row r="600" spans="1:13" x14ac:dyDescent="0.3">
      <c r="A600">
        <v>43</v>
      </c>
      <c r="B600" t="s">
        <v>12</v>
      </c>
      <c r="C600">
        <v>32.6</v>
      </c>
      <c r="D600">
        <v>2</v>
      </c>
      <c r="E600" t="s">
        <v>19</v>
      </c>
      <c r="F600" t="s">
        <v>6</v>
      </c>
      <c r="G600">
        <v>7441.5010000000002</v>
      </c>
      <c r="H600">
        <v>116.1</v>
      </c>
      <c r="I600" t="s">
        <v>0</v>
      </c>
      <c r="J600" t="b">
        <v>1</v>
      </c>
      <c r="K600" t="s">
        <v>14</v>
      </c>
      <c r="L600">
        <v>80157.259999999995</v>
      </c>
      <c r="M600" t="str" cm="1">
        <f t="array" ref="M600">_xlfn.IFS(A600&lt;30,"Young",A600&lt;=50,"Adult",A600&gt;50,"Senior")</f>
        <v>Adult</v>
      </c>
    </row>
    <row r="601" spans="1:13" x14ac:dyDescent="0.3">
      <c r="A601">
        <v>52</v>
      </c>
      <c r="B601" t="s">
        <v>11</v>
      </c>
      <c r="C601">
        <v>37.524999999999999</v>
      </c>
      <c r="D601">
        <v>2</v>
      </c>
      <c r="E601" t="s">
        <v>19</v>
      </c>
      <c r="F601" t="s">
        <v>8</v>
      </c>
      <c r="G601">
        <v>33471.971890000001</v>
      </c>
      <c r="H601">
        <v>113.2</v>
      </c>
      <c r="I601" t="s">
        <v>3</v>
      </c>
      <c r="J601" t="b">
        <v>1</v>
      </c>
      <c r="K601" t="s">
        <v>14</v>
      </c>
      <c r="L601">
        <v>191242.31</v>
      </c>
      <c r="M601" t="str" cm="1">
        <f t="array" ref="M601">_xlfn.IFS(A601&lt;30,"Young",A601&lt;=50,"Adult",A601&gt;50,"Senior")</f>
        <v>Senior</v>
      </c>
    </row>
    <row r="602" spans="1:13" x14ac:dyDescent="0.3">
      <c r="A602">
        <v>18</v>
      </c>
      <c r="B602" t="s">
        <v>11</v>
      </c>
      <c r="C602">
        <v>39.159999999999997</v>
      </c>
      <c r="D602">
        <v>0</v>
      </c>
      <c r="E602" t="s">
        <v>19</v>
      </c>
      <c r="F602" t="s">
        <v>7</v>
      </c>
      <c r="G602">
        <v>1633.0444</v>
      </c>
      <c r="H602">
        <v>121.6</v>
      </c>
      <c r="I602" t="s">
        <v>0</v>
      </c>
      <c r="J602" t="b">
        <v>0</v>
      </c>
      <c r="K602" t="s">
        <v>16</v>
      </c>
      <c r="L602">
        <v>130708.72</v>
      </c>
      <c r="M602" t="str" cm="1">
        <f t="array" ref="M602">_xlfn.IFS(A602&lt;30,"Young",A602&lt;=50,"Adult",A602&gt;50,"Senior")</f>
        <v>Young</v>
      </c>
    </row>
    <row r="603" spans="1:13" x14ac:dyDescent="0.3">
      <c r="A603">
        <v>51</v>
      </c>
      <c r="B603" t="s">
        <v>12</v>
      </c>
      <c r="C603">
        <v>31.635000000000002</v>
      </c>
      <c r="D603">
        <v>0</v>
      </c>
      <c r="E603" t="s">
        <v>19</v>
      </c>
      <c r="F603" t="s">
        <v>8</v>
      </c>
      <c r="G603">
        <v>9174.1356500000002</v>
      </c>
      <c r="H603">
        <v>119.4</v>
      </c>
      <c r="I603" t="s">
        <v>3</v>
      </c>
      <c r="J603" t="b">
        <v>0</v>
      </c>
      <c r="K603" t="s">
        <v>15</v>
      </c>
      <c r="L603">
        <v>150901.43</v>
      </c>
      <c r="M603" t="str" cm="1">
        <f t="array" ref="M603">_xlfn.IFS(A603&lt;30,"Young",A603&lt;=50,"Adult",A603&gt;50,"Senior")</f>
        <v>Senior</v>
      </c>
    </row>
    <row r="604" spans="1:13" x14ac:dyDescent="0.3">
      <c r="A604">
        <v>56</v>
      </c>
      <c r="B604" t="s">
        <v>11</v>
      </c>
      <c r="C604">
        <v>25.3</v>
      </c>
      <c r="D604">
        <v>0</v>
      </c>
      <c r="E604" t="s">
        <v>19</v>
      </c>
      <c r="F604" t="s">
        <v>6</v>
      </c>
      <c r="G604">
        <v>11070.535</v>
      </c>
      <c r="H604">
        <v>139.80000000000001</v>
      </c>
      <c r="I604" t="s">
        <v>2</v>
      </c>
      <c r="J604" t="b">
        <v>1</v>
      </c>
      <c r="K604" t="s">
        <v>15</v>
      </c>
      <c r="L604">
        <v>73286.679999999993</v>
      </c>
      <c r="M604" t="str" cm="1">
        <f t="array" ref="M604">_xlfn.IFS(A604&lt;30,"Young",A604&lt;=50,"Adult",A604&gt;50,"Senior")</f>
        <v>Senior</v>
      </c>
    </row>
    <row r="605" spans="1:13" x14ac:dyDescent="0.3">
      <c r="A605">
        <v>64</v>
      </c>
      <c r="B605" t="s">
        <v>11</v>
      </c>
      <c r="C605">
        <v>39.049999999999997</v>
      </c>
      <c r="D605">
        <v>3</v>
      </c>
      <c r="E605" t="s">
        <v>19</v>
      </c>
      <c r="F605" t="s">
        <v>7</v>
      </c>
      <c r="G605">
        <v>16085.127500000001</v>
      </c>
      <c r="H605">
        <v>129.69999999999999</v>
      </c>
      <c r="I605" t="s">
        <v>1</v>
      </c>
      <c r="J605" t="b">
        <v>0</v>
      </c>
      <c r="K605" t="s">
        <v>15</v>
      </c>
      <c r="L605">
        <v>101847.4</v>
      </c>
      <c r="M605" t="str" cm="1">
        <f t="array" ref="M605">_xlfn.IFS(A605&lt;30,"Young",A605&lt;=50,"Adult",A605&gt;50,"Senior")</f>
        <v>Senior</v>
      </c>
    </row>
    <row r="606" spans="1:13" x14ac:dyDescent="0.3">
      <c r="A606">
        <v>19</v>
      </c>
      <c r="B606" t="s">
        <v>11</v>
      </c>
      <c r="C606">
        <v>28.31</v>
      </c>
      <c r="D606">
        <v>0</v>
      </c>
      <c r="E606" t="s">
        <v>18</v>
      </c>
      <c r="F606" t="s">
        <v>8</v>
      </c>
      <c r="G606">
        <v>17468.983899999999</v>
      </c>
      <c r="H606">
        <v>126.3</v>
      </c>
      <c r="I606" t="s">
        <v>0</v>
      </c>
      <c r="J606" t="b">
        <v>0</v>
      </c>
      <c r="K606" t="s">
        <v>15</v>
      </c>
      <c r="L606">
        <v>162209.82999999999</v>
      </c>
      <c r="M606" t="str" cm="1">
        <f t="array" ref="M606">_xlfn.IFS(A606&lt;30,"Young",A606&lt;=50,"Adult",A606&gt;50,"Senior")</f>
        <v>Young</v>
      </c>
    </row>
    <row r="607" spans="1:13" x14ac:dyDescent="0.3">
      <c r="A607">
        <v>51</v>
      </c>
      <c r="B607" t="s">
        <v>11</v>
      </c>
      <c r="C607">
        <v>34.1</v>
      </c>
      <c r="D607">
        <v>0</v>
      </c>
      <c r="E607" t="s">
        <v>19</v>
      </c>
      <c r="F607" t="s">
        <v>7</v>
      </c>
      <c r="G607">
        <v>9283.5619999999999</v>
      </c>
      <c r="H607">
        <v>122.1</v>
      </c>
      <c r="I607" t="s">
        <v>2</v>
      </c>
      <c r="J607" t="b">
        <v>0</v>
      </c>
      <c r="K607" t="s">
        <v>16</v>
      </c>
      <c r="L607">
        <v>62311.54</v>
      </c>
      <c r="M607" t="str" cm="1">
        <f t="array" ref="M607">_xlfn.IFS(A607&lt;30,"Young",A607&lt;=50,"Adult",A607&gt;50,"Senior")</f>
        <v>Senior</v>
      </c>
    </row>
    <row r="608" spans="1:13" x14ac:dyDescent="0.3">
      <c r="A608">
        <v>27</v>
      </c>
      <c r="B608" t="s">
        <v>11</v>
      </c>
      <c r="C608">
        <v>25.175000000000001</v>
      </c>
      <c r="D608">
        <v>0</v>
      </c>
      <c r="E608" t="s">
        <v>19</v>
      </c>
      <c r="F608" t="s">
        <v>9</v>
      </c>
      <c r="G608">
        <v>3558.6202499999999</v>
      </c>
      <c r="H608">
        <v>117.5</v>
      </c>
      <c r="I608" t="s">
        <v>0</v>
      </c>
      <c r="J608" t="b">
        <v>1</v>
      </c>
      <c r="K608" t="s">
        <v>15</v>
      </c>
      <c r="L608">
        <v>77948.36</v>
      </c>
      <c r="M608" t="str" cm="1">
        <f t="array" ref="M608">_xlfn.IFS(A608&lt;30,"Young",A608&lt;=50,"Adult",A608&gt;50,"Senior")</f>
        <v>Young</v>
      </c>
    </row>
    <row r="609" spans="1:13" x14ac:dyDescent="0.3">
      <c r="A609">
        <v>59</v>
      </c>
      <c r="B609" t="s">
        <v>11</v>
      </c>
      <c r="C609">
        <v>23.655000000000001</v>
      </c>
      <c r="D609">
        <v>0</v>
      </c>
      <c r="E609" t="s">
        <v>18</v>
      </c>
      <c r="F609" t="s">
        <v>8</v>
      </c>
      <c r="G609">
        <v>25678.778450000002</v>
      </c>
      <c r="H609">
        <v>131</v>
      </c>
      <c r="I609" t="s">
        <v>2</v>
      </c>
      <c r="J609" t="b">
        <v>1</v>
      </c>
      <c r="K609" t="s">
        <v>15</v>
      </c>
      <c r="L609">
        <v>75441.990000000005</v>
      </c>
      <c r="M609" t="str" cm="1">
        <f t="array" ref="M609">_xlfn.IFS(A609&lt;30,"Young",A609&lt;=50,"Adult",A609&gt;50,"Senior")</f>
        <v>Senior</v>
      </c>
    </row>
    <row r="610" spans="1:13" x14ac:dyDescent="0.3">
      <c r="A610">
        <v>28</v>
      </c>
      <c r="B610" t="s">
        <v>12</v>
      </c>
      <c r="C610">
        <v>26.98</v>
      </c>
      <c r="D610">
        <v>2</v>
      </c>
      <c r="E610" t="s">
        <v>19</v>
      </c>
      <c r="F610" t="s">
        <v>9</v>
      </c>
      <c r="G610">
        <v>4435.0941999999995</v>
      </c>
      <c r="H610">
        <v>137.5</v>
      </c>
      <c r="I610" t="s">
        <v>1</v>
      </c>
      <c r="J610" t="b">
        <v>1</v>
      </c>
      <c r="K610" t="s">
        <v>14</v>
      </c>
      <c r="L610">
        <v>53258.16</v>
      </c>
      <c r="M610" t="str" cm="1">
        <f t="array" ref="M610">_xlfn.IFS(A610&lt;30,"Young",A610&lt;=50,"Adult",A610&gt;50,"Senior")</f>
        <v>Young</v>
      </c>
    </row>
    <row r="611" spans="1:13" x14ac:dyDescent="0.3">
      <c r="A611">
        <v>30</v>
      </c>
      <c r="B611" t="s">
        <v>12</v>
      </c>
      <c r="C611">
        <v>37.799999999999997</v>
      </c>
      <c r="D611">
        <v>2</v>
      </c>
      <c r="E611" t="s">
        <v>18</v>
      </c>
      <c r="F611" t="s">
        <v>6</v>
      </c>
      <c r="G611">
        <v>39241.442000000003</v>
      </c>
      <c r="H611">
        <v>124.2</v>
      </c>
      <c r="I611" t="s">
        <v>3</v>
      </c>
      <c r="J611" t="b">
        <v>1</v>
      </c>
      <c r="K611" t="s">
        <v>14</v>
      </c>
      <c r="L611">
        <v>84203.87</v>
      </c>
      <c r="M611" t="str" cm="1">
        <f t="array" ref="M611">_xlfn.IFS(A611&lt;30,"Young",A611&lt;=50,"Adult",A611&gt;50,"Senior")</f>
        <v>Adult</v>
      </c>
    </row>
    <row r="612" spans="1:13" x14ac:dyDescent="0.3">
      <c r="A612">
        <v>47</v>
      </c>
      <c r="B612" t="s">
        <v>11</v>
      </c>
      <c r="C612">
        <v>29.37</v>
      </c>
      <c r="D612">
        <v>1</v>
      </c>
      <c r="E612" t="s">
        <v>19</v>
      </c>
      <c r="F612" t="s">
        <v>7</v>
      </c>
      <c r="G612">
        <v>8547.6913000000004</v>
      </c>
      <c r="H612">
        <v>114.7</v>
      </c>
      <c r="I612" t="s">
        <v>3</v>
      </c>
      <c r="J612" t="b">
        <v>1</v>
      </c>
      <c r="K612" t="s">
        <v>16</v>
      </c>
      <c r="L612">
        <v>117145.94</v>
      </c>
      <c r="M612" t="str" cm="1">
        <f t="array" ref="M612">_xlfn.IFS(A612&lt;30,"Young",A612&lt;=50,"Adult",A612&gt;50,"Senior")</f>
        <v>Adult</v>
      </c>
    </row>
    <row r="613" spans="1:13" x14ac:dyDescent="0.3">
      <c r="A613">
        <v>38</v>
      </c>
      <c r="B613" t="s">
        <v>11</v>
      </c>
      <c r="C613">
        <v>34.799999999999997</v>
      </c>
      <c r="D613">
        <v>2</v>
      </c>
      <c r="E613" t="s">
        <v>19</v>
      </c>
      <c r="F613" t="s">
        <v>6</v>
      </c>
      <c r="G613">
        <v>6571.5439999999999</v>
      </c>
      <c r="H613">
        <v>114</v>
      </c>
      <c r="I613" t="s">
        <v>2</v>
      </c>
      <c r="J613" t="b">
        <v>0</v>
      </c>
      <c r="K613" t="s">
        <v>15</v>
      </c>
      <c r="L613">
        <v>100419.67</v>
      </c>
      <c r="M613" t="str" cm="1">
        <f t="array" ref="M613">_xlfn.IFS(A613&lt;30,"Young",A613&lt;=50,"Adult",A613&gt;50,"Senior")</f>
        <v>Adult</v>
      </c>
    </row>
    <row r="614" spans="1:13" x14ac:dyDescent="0.3">
      <c r="A614">
        <v>18</v>
      </c>
      <c r="B614" t="s">
        <v>11</v>
      </c>
      <c r="C614">
        <v>33.155000000000001</v>
      </c>
      <c r="D614">
        <v>0</v>
      </c>
      <c r="E614" t="s">
        <v>19</v>
      </c>
      <c r="F614" t="s">
        <v>9</v>
      </c>
      <c r="G614">
        <v>2207.6974500000001</v>
      </c>
      <c r="H614">
        <v>122.3</v>
      </c>
      <c r="I614" t="s">
        <v>1</v>
      </c>
      <c r="J614" t="b">
        <v>0</v>
      </c>
      <c r="K614" t="s">
        <v>15</v>
      </c>
      <c r="L614">
        <v>147356.48000000001</v>
      </c>
      <c r="M614" t="str" cm="1">
        <f t="array" ref="M614">_xlfn.IFS(A614&lt;30,"Young",A614&lt;=50,"Adult",A614&gt;50,"Senior")</f>
        <v>Young</v>
      </c>
    </row>
    <row r="615" spans="1:13" x14ac:dyDescent="0.3">
      <c r="A615">
        <v>34</v>
      </c>
      <c r="B615" t="s">
        <v>11</v>
      </c>
      <c r="C615">
        <v>19</v>
      </c>
      <c r="D615">
        <v>3</v>
      </c>
      <c r="E615" t="s">
        <v>19</v>
      </c>
      <c r="F615" t="s">
        <v>9</v>
      </c>
      <c r="G615">
        <v>6753.0379999999996</v>
      </c>
      <c r="H615">
        <v>135.80000000000001</v>
      </c>
      <c r="I615" t="s">
        <v>1</v>
      </c>
      <c r="J615" t="b">
        <v>0</v>
      </c>
      <c r="K615" t="s">
        <v>15</v>
      </c>
      <c r="L615">
        <v>117473.4</v>
      </c>
      <c r="M615" t="str" cm="1">
        <f t="array" ref="M615">_xlfn.IFS(A615&lt;30,"Young",A615&lt;=50,"Adult",A615&gt;50,"Senior")</f>
        <v>Adult</v>
      </c>
    </row>
    <row r="616" spans="1:13" x14ac:dyDescent="0.3">
      <c r="A616">
        <v>20</v>
      </c>
      <c r="B616" t="s">
        <v>11</v>
      </c>
      <c r="C616">
        <v>33</v>
      </c>
      <c r="D616">
        <v>0</v>
      </c>
      <c r="E616" t="s">
        <v>19</v>
      </c>
      <c r="F616" t="s">
        <v>7</v>
      </c>
      <c r="G616">
        <v>1880.07</v>
      </c>
      <c r="H616">
        <v>118.2</v>
      </c>
      <c r="I616" t="s">
        <v>2</v>
      </c>
      <c r="J616" t="b">
        <v>0</v>
      </c>
      <c r="K616" t="s">
        <v>14</v>
      </c>
      <c r="L616">
        <v>121367.8</v>
      </c>
      <c r="M616" t="str" cm="1">
        <f t="array" ref="M616">_xlfn.IFS(A616&lt;30,"Young",A616&lt;=50,"Adult",A616&gt;50,"Senior")</f>
        <v>Young</v>
      </c>
    </row>
    <row r="617" spans="1:13" x14ac:dyDescent="0.3">
      <c r="A617">
        <v>47</v>
      </c>
      <c r="B617" t="s">
        <v>11</v>
      </c>
      <c r="C617">
        <v>36.630000000000003</v>
      </c>
      <c r="D617">
        <v>1</v>
      </c>
      <c r="E617" t="s">
        <v>18</v>
      </c>
      <c r="F617" t="s">
        <v>7</v>
      </c>
      <c r="G617">
        <v>42969.852700000003</v>
      </c>
      <c r="H617">
        <v>118</v>
      </c>
      <c r="I617" t="s">
        <v>3</v>
      </c>
      <c r="J617" t="b">
        <v>1</v>
      </c>
      <c r="K617" t="s">
        <v>15</v>
      </c>
      <c r="L617">
        <v>115227.57</v>
      </c>
      <c r="M617" t="str" cm="1">
        <f t="array" ref="M617">_xlfn.IFS(A617&lt;30,"Young",A617&lt;=50,"Adult",A617&gt;50,"Senior")</f>
        <v>Adult</v>
      </c>
    </row>
    <row r="618" spans="1:13" x14ac:dyDescent="0.3">
      <c r="A618">
        <v>56</v>
      </c>
      <c r="B618" t="s">
        <v>11</v>
      </c>
      <c r="C618">
        <v>28.594999999999999</v>
      </c>
      <c r="D618">
        <v>0</v>
      </c>
      <c r="E618" t="s">
        <v>19</v>
      </c>
      <c r="F618" t="s">
        <v>9</v>
      </c>
      <c r="G618">
        <v>11658.11505</v>
      </c>
      <c r="H618">
        <v>134.6</v>
      </c>
      <c r="I618" t="s">
        <v>3</v>
      </c>
      <c r="J618" t="b">
        <v>1</v>
      </c>
      <c r="K618" t="s">
        <v>14</v>
      </c>
      <c r="L618">
        <v>127121.19</v>
      </c>
      <c r="M618" t="str" cm="1">
        <f t="array" ref="M618">_xlfn.IFS(A618&lt;30,"Young",A618&lt;=50,"Adult",A618&gt;50,"Senior")</f>
        <v>Senior</v>
      </c>
    </row>
    <row r="619" spans="1:13" x14ac:dyDescent="0.3">
      <c r="A619">
        <v>49</v>
      </c>
      <c r="B619" t="s">
        <v>12</v>
      </c>
      <c r="C619">
        <v>25.6</v>
      </c>
      <c r="D619">
        <v>2</v>
      </c>
      <c r="E619" t="s">
        <v>18</v>
      </c>
      <c r="F619" t="s">
        <v>6</v>
      </c>
      <c r="G619">
        <v>23306.546999999999</v>
      </c>
      <c r="H619">
        <v>119.2</v>
      </c>
      <c r="I619" t="s">
        <v>3</v>
      </c>
      <c r="J619" t="b">
        <v>1</v>
      </c>
      <c r="K619" t="s">
        <v>15</v>
      </c>
      <c r="L619">
        <v>126596.77</v>
      </c>
      <c r="M619" t="str" cm="1">
        <f t="array" ref="M619">_xlfn.IFS(A619&lt;30,"Young",A619&lt;=50,"Adult",A619&gt;50,"Senior")</f>
        <v>Adult</v>
      </c>
    </row>
    <row r="620" spans="1:13" x14ac:dyDescent="0.3">
      <c r="A620">
        <v>19</v>
      </c>
      <c r="B620" t="s">
        <v>11</v>
      </c>
      <c r="C620">
        <v>33.11</v>
      </c>
      <c r="D620">
        <v>0</v>
      </c>
      <c r="E620" t="s">
        <v>18</v>
      </c>
      <c r="F620" t="s">
        <v>7</v>
      </c>
      <c r="G620">
        <v>34439.855900000002</v>
      </c>
      <c r="H620">
        <v>117.7</v>
      </c>
      <c r="I620" t="s">
        <v>2</v>
      </c>
      <c r="J620" t="b">
        <v>0</v>
      </c>
      <c r="K620" t="s">
        <v>16</v>
      </c>
      <c r="L620">
        <v>157802.18</v>
      </c>
      <c r="M620" t="str" cm="1">
        <f t="array" ref="M620">_xlfn.IFS(A620&lt;30,"Young",A620&lt;=50,"Adult",A620&gt;50,"Senior")</f>
        <v>Young</v>
      </c>
    </row>
    <row r="621" spans="1:13" x14ac:dyDescent="0.3">
      <c r="A621">
        <v>55</v>
      </c>
      <c r="B621" t="s">
        <v>11</v>
      </c>
      <c r="C621">
        <v>37.1</v>
      </c>
      <c r="D621">
        <v>0</v>
      </c>
      <c r="E621" t="s">
        <v>19</v>
      </c>
      <c r="F621" t="s">
        <v>6</v>
      </c>
      <c r="G621">
        <v>10713.644</v>
      </c>
      <c r="H621">
        <v>130</v>
      </c>
      <c r="I621" t="s">
        <v>0</v>
      </c>
      <c r="J621" t="b">
        <v>0</v>
      </c>
      <c r="K621" t="s">
        <v>14</v>
      </c>
      <c r="L621">
        <v>139577.15</v>
      </c>
      <c r="M621" t="str" cm="1">
        <f t="array" ref="M621">_xlfn.IFS(A621&lt;30,"Young",A621&lt;=50,"Adult",A621&gt;50,"Senior")</f>
        <v>Senior</v>
      </c>
    </row>
    <row r="622" spans="1:13" x14ac:dyDescent="0.3">
      <c r="A622">
        <v>30</v>
      </c>
      <c r="B622" t="s">
        <v>12</v>
      </c>
      <c r="C622">
        <v>31.4</v>
      </c>
      <c r="D622">
        <v>1</v>
      </c>
      <c r="E622" t="s">
        <v>19</v>
      </c>
      <c r="F622" t="s">
        <v>6</v>
      </c>
      <c r="G622">
        <v>3659.346</v>
      </c>
      <c r="H622">
        <v>124.3</v>
      </c>
      <c r="I622" t="s">
        <v>2</v>
      </c>
      <c r="J622" t="b">
        <v>0</v>
      </c>
      <c r="K622" t="s">
        <v>15</v>
      </c>
      <c r="L622">
        <v>87454.31</v>
      </c>
      <c r="M622" t="str" cm="1">
        <f t="array" ref="M622">_xlfn.IFS(A622&lt;30,"Young",A622&lt;=50,"Adult",A622&gt;50,"Senior")</f>
        <v>Adult</v>
      </c>
    </row>
    <row r="623" spans="1:13" x14ac:dyDescent="0.3">
      <c r="A623">
        <v>37</v>
      </c>
      <c r="B623" t="s">
        <v>12</v>
      </c>
      <c r="C623">
        <v>34.1</v>
      </c>
      <c r="D623">
        <v>4</v>
      </c>
      <c r="E623" t="s">
        <v>18</v>
      </c>
      <c r="F623" t="s">
        <v>6</v>
      </c>
      <c r="G623">
        <v>40182.245999999999</v>
      </c>
      <c r="H623">
        <v>119.9</v>
      </c>
      <c r="I623" t="s">
        <v>3</v>
      </c>
      <c r="J623" t="b">
        <v>1</v>
      </c>
      <c r="K623" t="s">
        <v>14</v>
      </c>
      <c r="L623">
        <v>119977.12</v>
      </c>
      <c r="M623" t="str" cm="1">
        <f t="array" ref="M623">_xlfn.IFS(A623&lt;30,"Young",A623&lt;=50,"Adult",A623&gt;50,"Senior")</f>
        <v>Adult</v>
      </c>
    </row>
    <row r="624" spans="1:13" x14ac:dyDescent="0.3">
      <c r="A624">
        <v>49</v>
      </c>
      <c r="B624" t="s">
        <v>11</v>
      </c>
      <c r="C624">
        <v>21.3</v>
      </c>
      <c r="D624">
        <v>1</v>
      </c>
      <c r="E624" t="s">
        <v>19</v>
      </c>
      <c r="F624" t="s">
        <v>6</v>
      </c>
      <c r="G624">
        <v>9182.17</v>
      </c>
      <c r="H624">
        <v>120.5</v>
      </c>
      <c r="I624" t="s">
        <v>2</v>
      </c>
      <c r="J624" t="b">
        <v>0</v>
      </c>
      <c r="K624" t="s">
        <v>15</v>
      </c>
      <c r="L624">
        <v>101751.77</v>
      </c>
      <c r="M624" t="str" cm="1">
        <f t="array" ref="M624">_xlfn.IFS(A624&lt;30,"Young",A624&lt;=50,"Adult",A624&gt;50,"Senior")</f>
        <v>Adult</v>
      </c>
    </row>
    <row r="625" spans="1:13" x14ac:dyDescent="0.3">
      <c r="A625">
        <v>18</v>
      </c>
      <c r="B625" t="s">
        <v>12</v>
      </c>
      <c r="C625">
        <v>33.534999999999997</v>
      </c>
      <c r="D625">
        <v>0</v>
      </c>
      <c r="E625" t="s">
        <v>18</v>
      </c>
      <c r="F625" t="s">
        <v>9</v>
      </c>
      <c r="G625">
        <v>34617.840649999998</v>
      </c>
      <c r="H625">
        <v>121.8</v>
      </c>
      <c r="I625" t="s">
        <v>3</v>
      </c>
      <c r="J625" t="b">
        <v>0</v>
      </c>
      <c r="K625" t="s">
        <v>16</v>
      </c>
      <c r="L625">
        <v>93868.83</v>
      </c>
      <c r="M625" t="str" cm="1">
        <f t="array" ref="M625">_xlfn.IFS(A625&lt;30,"Young",A625&lt;=50,"Adult",A625&gt;50,"Senior")</f>
        <v>Young</v>
      </c>
    </row>
    <row r="626" spans="1:13" x14ac:dyDescent="0.3">
      <c r="A626">
        <v>59</v>
      </c>
      <c r="B626" t="s">
        <v>12</v>
      </c>
      <c r="C626">
        <v>28.785</v>
      </c>
      <c r="D626">
        <v>0</v>
      </c>
      <c r="E626" t="s">
        <v>19</v>
      </c>
      <c r="F626" t="s">
        <v>8</v>
      </c>
      <c r="G626">
        <v>12129.614149999999</v>
      </c>
      <c r="H626">
        <v>120.8</v>
      </c>
      <c r="I626" t="s">
        <v>0</v>
      </c>
      <c r="J626" t="b">
        <v>0</v>
      </c>
      <c r="K626" t="s">
        <v>14</v>
      </c>
      <c r="L626">
        <v>196499.56</v>
      </c>
      <c r="M626" t="str" cm="1">
        <f t="array" ref="M626">_xlfn.IFS(A626&lt;30,"Young",A626&lt;=50,"Adult",A626&gt;50,"Senior")</f>
        <v>Senior</v>
      </c>
    </row>
    <row r="627" spans="1:13" x14ac:dyDescent="0.3">
      <c r="A627">
        <v>29</v>
      </c>
      <c r="B627" t="s">
        <v>11</v>
      </c>
      <c r="C627">
        <v>26.03</v>
      </c>
      <c r="D627">
        <v>0</v>
      </c>
      <c r="E627" t="s">
        <v>19</v>
      </c>
      <c r="F627" t="s">
        <v>8</v>
      </c>
      <c r="G627">
        <v>3736.4647</v>
      </c>
      <c r="H627">
        <v>135.5</v>
      </c>
      <c r="I627" t="s">
        <v>3</v>
      </c>
      <c r="J627" t="b">
        <v>1</v>
      </c>
      <c r="K627" t="s">
        <v>16</v>
      </c>
      <c r="L627">
        <v>40258.410000000003</v>
      </c>
      <c r="M627" t="str" cm="1">
        <f t="array" ref="M627">_xlfn.IFS(A627&lt;30,"Young",A627&lt;=50,"Adult",A627&gt;50,"Senior")</f>
        <v>Young</v>
      </c>
    </row>
    <row r="628" spans="1:13" x14ac:dyDescent="0.3">
      <c r="A628">
        <v>36</v>
      </c>
      <c r="B628" t="s">
        <v>12</v>
      </c>
      <c r="C628">
        <v>28.88</v>
      </c>
      <c r="D628">
        <v>3</v>
      </c>
      <c r="E628" t="s">
        <v>19</v>
      </c>
      <c r="F628" t="s">
        <v>9</v>
      </c>
      <c r="G628">
        <v>6748.5911999999998</v>
      </c>
      <c r="H628">
        <v>110.4</v>
      </c>
      <c r="I628" t="s">
        <v>0</v>
      </c>
      <c r="J628" t="b">
        <v>0</v>
      </c>
      <c r="K628" t="s">
        <v>16</v>
      </c>
      <c r="L628">
        <v>69008.570000000007</v>
      </c>
      <c r="M628" t="str" cm="1">
        <f t="array" ref="M628">_xlfn.IFS(A628&lt;30,"Young",A628&lt;=50,"Adult",A628&gt;50,"Senior")</f>
        <v>Adult</v>
      </c>
    </row>
    <row r="629" spans="1:13" x14ac:dyDescent="0.3">
      <c r="A629">
        <v>33</v>
      </c>
      <c r="B629" t="s">
        <v>12</v>
      </c>
      <c r="C629">
        <v>42.46</v>
      </c>
      <c r="D629">
        <v>1</v>
      </c>
      <c r="E629" t="s">
        <v>19</v>
      </c>
      <c r="F629" t="s">
        <v>7</v>
      </c>
      <c r="G629">
        <v>11326.71487</v>
      </c>
      <c r="H629">
        <v>139.5</v>
      </c>
      <c r="I629" t="s">
        <v>1</v>
      </c>
      <c r="J629" t="b">
        <v>1</v>
      </c>
      <c r="K629" t="s">
        <v>16</v>
      </c>
      <c r="L629">
        <v>91713.279999999999</v>
      </c>
      <c r="M629" t="str" cm="1">
        <f t="array" ref="M629">_xlfn.IFS(A629&lt;30,"Young",A629&lt;=50,"Adult",A629&gt;50,"Senior")</f>
        <v>Adult</v>
      </c>
    </row>
    <row r="630" spans="1:13" x14ac:dyDescent="0.3">
      <c r="A630">
        <v>58</v>
      </c>
      <c r="B630" t="s">
        <v>12</v>
      </c>
      <c r="C630">
        <v>38</v>
      </c>
      <c r="D630">
        <v>0</v>
      </c>
      <c r="E630" t="s">
        <v>19</v>
      </c>
      <c r="F630" t="s">
        <v>6</v>
      </c>
      <c r="G630">
        <v>11365.951999999999</v>
      </c>
      <c r="H630">
        <v>113.3</v>
      </c>
      <c r="I630" t="s">
        <v>1</v>
      </c>
      <c r="J630" t="b">
        <v>1</v>
      </c>
      <c r="K630" t="s">
        <v>14</v>
      </c>
      <c r="L630">
        <v>140358.88</v>
      </c>
      <c r="M630" t="str" cm="1">
        <f t="array" ref="M630">_xlfn.IFS(A630&lt;30,"Young",A630&lt;=50,"Adult",A630&gt;50,"Senior")</f>
        <v>Senior</v>
      </c>
    </row>
    <row r="631" spans="1:13" x14ac:dyDescent="0.3">
      <c r="A631">
        <v>44</v>
      </c>
      <c r="B631" t="s">
        <v>11</v>
      </c>
      <c r="C631">
        <v>38.950000000000003</v>
      </c>
      <c r="D631">
        <v>0</v>
      </c>
      <c r="E631" t="s">
        <v>18</v>
      </c>
      <c r="F631" t="s">
        <v>8</v>
      </c>
      <c r="G631">
        <v>42983.458500000001</v>
      </c>
      <c r="H631">
        <v>131.80000000000001</v>
      </c>
      <c r="I631" t="s">
        <v>1</v>
      </c>
      <c r="J631" t="b">
        <v>1</v>
      </c>
      <c r="K631" t="s">
        <v>15</v>
      </c>
      <c r="L631">
        <v>104021.2</v>
      </c>
      <c r="M631" t="str" cm="1">
        <f t="array" ref="M631">_xlfn.IFS(A631&lt;30,"Young",A631&lt;=50,"Adult",A631&gt;50,"Senior")</f>
        <v>Adult</v>
      </c>
    </row>
    <row r="632" spans="1:13" x14ac:dyDescent="0.3">
      <c r="A632">
        <v>53</v>
      </c>
      <c r="B632" t="s">
        <v>12</v>
      </c>
      <c r="C632">
        <v>36.1</v>
      </c>
      <c r="D632">
        <v>1</v>
      </c>
      <c r="E632" t="s">
        <v>19</v>
      </c>
      <c r="F632" t="s">
        <v>6</v>
      </c>
      <c r="G632">
        <v>10085.846</v>
      </c>
      <c r="H632">
        <v>129.5</v>
      </c>
      <c r="I632" t="s">
        <v>0</v>
      </c>
      <c r="J632" t="b">
        <v>0</v>
      </c>
      <c r="K632" t="s">
        <v>15</v>
      </c>
      <c r="L632">
        <v>144497.32</v>
      </c>
      <c r="M632" t="str" cm="1">
        <f t="array" ref="M632">_xlfn.IFS(A632&lt;30,"Young",A632&lt;=50,"Adult",A632&gt;50,"Senior")</f>
        <v>Senior</v>
      </c>
    </row>
    <row r="633" spans="1:13" x14ac:dyDescent="0.3">
      <c r="A633">
        <v>24</v>
      </c>
      <c r="B633" t="s">
        <v>12</v>
      </c>
      <c r="C633">
        <v>29.3</v>
      </c>
      <c r="D633">
        <v>0</v>
      </c>
      <c r="E633" t="s">
        <v>19</v>
      </c>
      <c r="F633" t="s">
        <v>6</v>
      </c>
      <c r="G633">
        <v>1977.8150000000001</v>
      </c>
      <c r="H633">
        <v>119.1</v>
      </c>
      <c r="I633" t="s">
        <v>3</v>
      </c>
      <c r="J633" t="b">
        <v>0</v>
      </c>
      <c r="K633" t="s">
        <v>14</v>
      </c>
      <c r="L633">
        <v>43810.25</v>
      </c>
      <c r="M633" t="str" cm="1">
        <f t="array" ref="M633">_xlfn.IFS(A633&lt;30,"Young",A633&lt;=50,"Adult",A633&gt;50,"Senior")</f>
        <v>Young</v>
      </c>
    </row>
    <row r="634" spans="1:13" x14ac:dyDescent="0.3">
      <c r="A634">
        <v>29</v>
      </c>
      <c r="B634" t="s">
        <v>11</v>
      </c>
      <c r="C634">
        <v>35.53</v>
      </c>
      <c r="D634">
        <v>0</v>
      </c>
      <c r="E634" t="s">
        <v>19</v>
      </c>
      <c r="F634" t="s">
        <v>7</v>
      </c>
      <c r="G634">
        <v>3366.6696999999999</v>
      </c>
      <c r="H634">
        <v>116.3</v>
      </c>
      <c r="I634" t="s">
        <v>2</v>
      </c>
      <c r="J634" t="b">
        <v>1</v>
      </c>
      <c r="K634" t="s">
        <v>15</v>
      </c>
      <c r="L634">
        <v>159536.81</v>
      </c>
      <c r="M634" t="str" cm="1">
        <f t="array" ref="M634">_xlfn.IFS(A634&lt;30,"Young",A634&lt;=50,"Adult",A634&gt;50,"Senior")</f>
        <v>Young</v>
      </c>
    </row>
    <row r="635" spans="1:13" x14ac:dyDescent="0.3">
      <c r="A635">
        <v>40</v>
      </c>
      <c r="B635" t="s">
        <v>12</v>
      </c>
      <c r="C635">
        <v>22.704999999999998</v>
      </c>
      <c r="D635">
        <v>2</v>
      </c>
      <c r="E635" t="s">
        <v>19</v>
      </c>
      <c r="F635" t="s">
        <v>9</v>
      </c>
      <c r="G635">
        <v>7173.35995</v>
      </c>
      <c r="H635">
        <v>120.3</v>
      </c>
      <c r="I635" t="s">
        <v>0</v>
      </c>
      <c r="J635" t="b">
        <v>1</v>
      </c>
      <c r="K635" t="s">
        <v>15</v>
      </c>
      <c r="L635">
        <v>59726.98</v>
      </c>
      <c r="M635" t="str" cm="1">
        <f t="array" ref="M635">_xlfn.IFS(A635&lt;30,"Young",A635&lt;=50,"Adult",A635&gt;50,"Senior")</f>
        <v>Adult</v>
      </c>
    </row>
    <row r="636" spans="1:13" x14ac:dyDescent="0.3">
      <c r="A636">
        <v>51</v>
      </c>
      <c r="B636" t="s">
        <v>12</v>
      </c>
      <c r="C636">
        <v>39.700000000000003</v>
      </c>
      <c r="D636">
        <v>1</v>
      </c>
      <c r="E636" t="s">
        <v>19</v>
      </c>
      <c r="F636" t="s">
        <v>6</v>
      </c>
      <c r="G636">
        <v>9391.3459999999995</v>
      </c>
      <c r="H636">
        <v>126.5</v>
      </c>
      <c r="I636" t="s">
        <v>1</v>
      </c>
      <c r="J636" t="b">
        <v>1</v>
      </c>
      <c r="K636" t="s">
        <v>14</v>
      </c>
      <c r="L636">
        <v>59943.25</v>
      </c>
      <c r="M636" t="str" cm="1">
        <f t="array" ref="M636">_xlfn.IFS(A636&lt;30,"Young",A636&lt;=50,"Adult",A636&gt;50,"Senior")</f>
        <v>Senior</v>
      </c>
    </row>
    <row r="637" spans="1:13" x14ac:dyDescent="0.3">
      <c r="A637">
        <v>64</v>
      </c>
      <c r="B637" t="s">
        <v>12</v>
      </c>
      <c r="C637">
        <v>38.19</v>
      </c>
      <c r="D637">
        <v>0</v>
      </c>
      <c r="E637" t="s">
        <v>19</v>
      </c>
      <c r="F637" t="s">
        <v>9</v>
      </c>
      <c r="G637">
        <v>14410.9321</v>
      </c>
      <c r="H637">
        <v>135.80000000000001</v>
      </c>
      <c r="I637" t="s">
        <v>1</v>
      </c>
      <c r="J637" t="b">
        <v>0</v>
      </c>
      <c r="K637" t="s">
        <v>16</v>
      </c>
      <c r="L637">
        <v>48916.639999999999</v>
      </c>
      <c r="M637" t="str" cm="1">
        <f t="array" ref="M637">_xlfn.IFS(A637&lt;30,"Young",A637&lt;=50,"Adult",A637&gt;50,"Senior")</f>
        <v>Senior</v>
      </c>
    </row>
    <row r="638" spans="1:13" x14ac:dyDescent="0.3">
      <c r="A638">
        <v>19</v>
      </c>
      <c r="B638" t="s">
        <v>11</v>
      </c>
      <c r="C638">
        <v>24.51</v>
      </c>
      <c r="D638">
        <v>1</v>
      </c>
      <c r="E638" t="s">
        <v>19</v>
      </c>
      <c r="F638" t="s">
        <v>8</v>
      </c>
      <c r="G638">
        <v>2709.1118999999999</v>
      </c>
      <c r="H638">
        <v>132.6</v>
      </c>
      <c r="I638" t="s">
        <v>0</v>
      </c>
      <c r="J638" t="b">
        <v>1</v>
      </c>
      <c r="K638" t="s">
        <v>15</v>
      </c>
      <c r="L638">
        <v>57922.46</v>
      </c>
      <c r="M638" t="str" cm="1">
        <f t="array" ref="M638">_xlfn.IFS(A638&lt;30,"Young",A638&lt;=50,"Adult",A638&gt;50,"Senior")</f>
        <v>Young</v>
      </c>
    </row>
    <row r="639" spans="1:13" x14ac:dyDescent="0.3">
      <c r="A639">
        <v>35</v>
      </c>
      <c r="B639" t="s">
        <v>11</v>
      </c>
      <c r="C639">
        <v>38.094999999999999</v>
      </c>
      <c r="D639">
        <v>2</v>
      </c>
      <c r="E639" t="s">
        <v>19</v>
      </c>
      <c r="F639" t="s">
        <v>9</v>
      </c>
      <c r="G639">
        <v>24915.046259999999</v>
      </c>
      <c r="H639">
        <v>119.3</v>
      </c>
      <c r="I639" t="s">
        <v>1</v>
      </c>
      <c r="J639" t="b">
        <v>1</v>
      </c>
      <c r="K639" t="s">
        <v>15</v>
      </c>
      <c r="L639">
        <v>46912.11</v>
      </c>
      <c r="M639" t="str" cm="1">
        <f t="array" ref="M639">_xlfn.IFS(A639&lt;30,"Young",A639&lt;=50,"Adult",A639&gt;50,"Senior")</f>
        <v>Adult</v>
      </c>
    </row>
    <row r="640" spans="1:13" x14ac:dyDescent="0.3">
      <c r="A640">
        <v>39</v>
      </c>
      <c r="B640" t="s">
        <v>12</v>
      </c>
      <c r="C640">
        <v>26.41</v>
      </c>
      <c r="D640">
        <v>0</v>
      </c>
      <c r="E640" t="s">
        <v>18</v>
      </c>
      <c r="F640" t="s">
        <v>9</v>
      </c>
      <c r="G640">
        <v>20149.322899999999</v>
      </c>
      <c r="H640">
        <v>110.3</v>
      </c>
      <c r="I640" t="s">
        <v>0</v>
      </c>
      <c r="J640" t="b">
        <v>1</v>
      </c>
      <c r="K640" t="s">
        <v>14</v>
      </c>
      <c r="L640">
        <v>33019.620000000003</v>
      </c>
      <c r="M640" t="str" cm="1">
        <f t="array" ref="M640">_xlfn.IFS(A640&lt;30,"Young",A640&lt;=50,"Adult",A640&gt;50,"Senior")</f>
        <v>Adult</v>
      </c>
    </row>
    <row r="641" spans="1:13" x14ac:dyDescent="0.3">
      <c r="A641">
        <v>56</v>
      </c>
      <c r="B641" t="s">
        <v>12</v>
      </c>
      <c r="C641">
        <v>33.659999999999997</v>
      </c>
      <c r="D641">
        <v>4</v>
      </c>
      <c r="E641" t="s">
        <v>19</v>
      </c>
      <c r="F641" t="s">
        <v>7</v>
      </c>
      <c r="G641">
        <v>12949.1554</v>
      </c>
      <c r="H641">
        <v>122.1</v>
      </c>
      <c r="I641" t="s">
        <v>2</v>
      </c>
      <c r="J641" t="b">
        <v>1</v>
      </c>
      <c r="K641" t="s">
        <v>16</v>
      </c>
      <c r="L641">
        <v>88134.24</v>
      </c>
      <c r="M641" t="str" cm="1">
        <f t="array" ref="M641">_xlfn.IFS(A641&lt;30,"Young",A641&lt;=50,"Adult",A641&gt;50,"Senior")</f>
        <v>Senior</v>
      </c>
    </row>
    <row r="642" spans="1:13" x14ac:dyDescent="0.3">
      <c r="A642">
        <v>33</v>
      </c>
      <c r="B642" t="s">
        <v>12</v>
      </c>
      <c r="C642">
        <v>42.4</v>
      </c>
      <c r="D642">
        <v>5</v>
      </c>
      <c r="E642" t="s">
        <v>19</v>
      </c>
      <c r="F642" t="s">
        <v>6</v>
      </c>
      <c r="G642">
        <v>6666.2430000000004</v>
      </c>
      <c r="H642">
        <v>130.80000000000001</v>
      </c>
      <c r="I642" t="s">
        <v>0</v>
      </c>
      <c r="J642" t="b">
        <v>1</v>
      </c>
      <c r="K642" t="s">
        <v>14</v>
      </c>
      <c r="L642">
        <v>116194.44</v>
      </c>
      <c r="M642" t="str" cm="1">
        <f t="array" ref="M642">_xlfn.IFS(A642&lt;30,"Young",A642&lt;=50,"Adult",A642&gt;50,"Senior")</f>
        <v>Adult</v>
      </c>
    </row>
    <row r="643" spans="1:13" x14ac:dyDescent="0.3">
      <c r="A643">
        <v>42</v>
      </c>
      <c r="B643" t="s">
        <v>12</v>
      </c>
      <c r="C643">
        <v>28.31</v>
      </c>
      <c r="D643">
        <v>3</v>
      </c>
      <c r="E643" t="s">
        <v>18</v>
      </c>
      <c r="F643" t="s">
        <v>8</v>
      </c>
      <c r="G643">
        <v>32787.458590000002</v>
      </c>
      <c r="H643">
        <v>127.6</v>
      </c>
      <c r="I643" t="s">
        <v>2</v>
      </c>
      <c r="J643" t="b">
        <v>0</v>
      </c>
      <c r="K643" t="s">
        <v>15</v>
      </c>
      <c r="L643">
        <v>65038.080000000002</v>
      </c>
      <c r="M643" t="str" cm="1">
        <f t="array" ref="M643">_xlfn.IFS(A643&lt;30,"Young",A643&lt;=50,"Adult",A643&gt;50,"Senior")</f>
        <v>Adult</v>
      </c>
    </row>
    <row r="644" spans="1:13" x14ac:dyDescent="0.3">
      <c r="A644">
        <v>61</v>
      </c>
      <c r="B644" t="s">
        <v>12</v>
      </c>
      <c r="C644">
        <v>33.914999999999999</v>
      </c>
      <c r="D644">
        <v>0</v>
      </c>
      <c r="E644" t="s">
        <v>19</v>
      </c>
      <c r="F644" t="s">
        <v>9</v>
      </c>
      <c r="G644">
        <v>13143.86485</v>
      </c>
      <c r="H644">
        <v>116.8</v>
      </c>
      <c r="I644" t="s">
        <v>0</v>
      </c>
      <c r="J644" t="b">
        <v>0</v>
      </c>
      <c r="K644" t="s">
        <v>16</v>
      </c>
      <c r="L644">
        <v>53363.8</v>
      </c>
      <c r="M644" t="str" cm="1">
        <f t="array" ref="M644">_xlfn.IFS(A644&lt;30,"Young",A644&lt;=50,"Adult",A644&gt;50,"Senior")</f>
        <v>Senior</v>
      </c>
    </row>
    <row r="645" spans="1:13" x14ac:dyDescent="0.3">
      <c r="A645">
        <v>23</v>
      </c>
      <c r="B645" t="s">
        <v>11</v>
      </c>
      <c r="C645">
        <v>34.96</v>
      </c>
      <c r="D645">
        <v>3</v>
      </c>
      <c r="E645" t="s">
        <v>19</v>
      </c>
      <c r="F645" t="s">
        <v>8</v>
      </c>
      <c r="G645">
        <v>4466.6214</v>
      </c>
      <c r="H645">
        <v>129.5</v>
      </c>
      <c r="I645" t="s">
        <v>2</v>
      </c>
      <c r="J645" t="b">
        <v>1</v>
      </c>
      <c r="K645" t="s">
        <v>14</v>
      </c>
      <c r="L645">
        <v>94109.6</v>
      </c>
      <c r="M645" t="str" cm="1">
        <f t="array" ref="M645">_xlfn.IFS(A645&lt;30,"Young",A645&lt;=50,"Adult",A645&gt;50,"Senior")</f>
        <v>Young</v>
      </c>
    </row>
    <row r="646" spans="1:13" x14ac:dyDescent="0.3">
      <c r="A646">
        <v>43</v>
      </c>
      <c r="B646" t="s">
        <v>12</v>
      </c>
      <c r="C646">
        <v>35.31</v>
      </c>
      <c r="D646">
        <v>2</v>
      </c>
      <c r="E646" t="s">
        <v>19</v>
      </c>
      <c r="F646" t="s">
        <v>7</v>
      </c>
      <c r="G646">
        <v>18806.145469999999</v>
      </c>
      <c r="H646">
        <v>120.6</v>
      </c>
      <c r="I646" t="s">
        <v>1</v>
      </c>
      <c r="J646" t="b">
        <v>0</v>
      </c>
      <c r="K646" t="s">
        <v>14</v>
      </c>
      <c r="L646">
        <v>52776.94</v>
      </c>
      <c r="M646" t="str" cm="1">
        <f t="array" ref="M646">_xlfn.IFS(A646&lt;30,"Young",A646&lt;=50,"Adult",A646&gt;50,"Senior")</f>
        <v>Adult</v>
      </c>
    </row>
    <row r="647" spans="1:13" x14ac:dyDescent="0.3">
      <c r="A647">
        <v>48</v>
      </c>
      <c r="B647" t="s">
        <v>12</v>
      </c>
      <c r="C647">
        <v>30.78</v>
      </c>
      <c r="D647">
        <v>3</v>
      </c>
      <c r="E647" t="s">
        <v>19</v>
      </c>
      <c r="F647" t="s">
        <v>9</v>
      </c>
      <c r="G647">
        <v>10141.136200000001</v>
      </c>
      <c r="H647">
        <v>128.1</v>
      </c>
      <c r="I647" t="s">
        <v>3</v>
      </c>
      <c r="J647" t="b">
        <v>1</v>
      </c>
      <c r="K647" t="s">
        <v>14</v>
      </c>
      <c r="L647">
        <v>77643.12</v>
      </c>
      <c r="M647" t="str" cm="1">
        <f t="array" ref="M647">_xlfn.IFS(A647&lt;30,"Young",A647&lt;=50,"Adult",A647&gt;50,"Senior")</f>
        <v>Adult</v>
      </c>
    </row>
    <row r="648" spans="1:13" x14ac:dyDescent="0.3">
      <c r="A648">
        <v>39</v>
      </c>
      <c r="B648" t="s">
        <v>12</v>
      </c>
      <c r="C648">
        <v>26.22</v>
      </c>
      <c r="D648">
        <v>1</v>
      </c>
      <c r="E648" t="s">
        <v>19</v>
      </c>
      <c r="F648" t="s">
        <v>8</v>
      </c>
      <c r="G648">
        <v>6123.5688</v>
      </c>
      <c r="H648">
        <v>134.80000000000001</v>
      </c>
      <c r="I648" t="s">
        <v>0</v>
      </c>
      <c r="J648" t="b">
        <v>1</v>
      </c>
      <c r="K648" t="s">
        <v>16</v>
      </c>
      <c r="L648">
        <v>178293.53</v>
      </c>
      <c r="M648" t="str" cm="1">
        <f t="array" ref="M648">_xlfn.IFS(A648&lt;30,"Young",A648&lt;=50,"Adult",A648&gt;50,"Senior")</f>
        <v>Adult</v>
      </c>
    </row>
    <row r="649" spans="1:13" x14ac:dyDescent="0.3">
      <c r="A649">
        <v>40</v>
      </c>
      <c r="B649" t="s">
        <v>11</v>
      </c>
      <c r="C649">
        <v>23.37</v>
      </c>
      <c r="D649">
        <v>3</v>
      </c>
      <c r="E649" t="s">
        <v>19</v>
      </c>
      <c r="F649" t="s">
        <v>9</v>
      </c>
      <c r="G649">
        <v>8252.2842999999993</v>
      </c>
      <c r="H649">
        <v>122.8</v>
      </c>
      <c r="I649" t="s">
        <v>2</v>
      </c>
      <c r="J649" t="b">
        <v>1</v>
      </c>
      <c r="K649" t="s">
        <v>14</v>
      </c>
      <c r="L649">
        <v>185131.05</v>
      </c>
      <c r="M649" t="str" cm="1">
        <f t="array" ref="M649">_xlfn.IFS(A649&lt;30,"Young",A649&lt;=50,"Adult",A649&gt;50,"Senior")</f>
        <v>Adult</v>
      </c>
    </row>
    <row r="650" spans="1:13" x14ac:dyDescent="0.3">
      <c r="A650">
        <v>18</v>
      </c>
      <c r="B650" t="s">
        <v>12</v>
      </c>
      <c r="C650">
        <v>28.5</v>
      </c>
      <c r="D650">
        <v>0</v>
      </c>
      <c r="E650" t="s">
        <v>19</v>
      </c>
      <c r="F650" t="s">
        <v>9</v>
      </c>
      <c r="G650">
        <v>1712.2270000000001</v>
      </c>
      <c r="H650">
        <v>119</v>
      </c>
      <c r="I650" t="s">
        <v>0</v>
      </c>
      <c r="J650" t="b">
        <v>0</v>
      </c>
      <c r="K650" t="s">
        <v>16</v>
      </c>
      <c r="L650">
        <v>195205.88</v>
      </c>
      <c r="M650" t="str" cm="1">
        <f t="array" ref="M650">_xlfn.IFS(A650&lt;30,"Young",A650&lt;=50,"Adult",A650&gt;50,"Senior")</f>
        <v>Young</v>
      </c>
    </row>
    <row r="651" spans="1:13" x14ac:dyDescent="0.3">
      <c r="A651">
        <v>58</v>
      </c>
      <c r="B651" t="s">
        <v>11</v>
      </c>
      <c r="C651">
        <v>32.965000000000003</v>
      </c>
      <c r="D651">
        <v>0</v>
      </c>
      <c r="E651" t="s">
        <v>19</v>
      </c>
      <c r="F651" t="s">
        <v>9</v>
      </c>
      <c r="G651">
        <v>12430.95335</v>
      </c>
      <c r="H651">
        <v>113.4</v>
      </c>
      <c r="I651" t="s">
        <v>2</v>
      </c>
      <c r="J651" t="b">
        <v>0</v>
      </c>
      <c r="K651" t="s">
        <v>14</v>
      </c>
      <c r="L651">
        <v>144818.82</v>
      </c>
      <c r="M651" t="str" cm="1">
        <f t="array" ref="M651">_xlfn.IFS(A651&lt;30,"Young",A651&lt;=50,"Adult",A651&gt;50,"Senior")</f>
        <v>Senior</v>
      </c>
    </row>
    <row r="652" spans="1:13" x14ac:dyDescent="0.3">
      <c r="A652">
        <v>49</v>
      </c>
      <c r="B652" t="s">
        <v>11</v>
      </c>
      <c r="C652">
        <v>42.68</v>
      </c>
      <c r="D652">
        <v>2</v>
      </c>
      <c r="E652" t="s">
        <v>19</v>
      </c>
      <c r="F652" t="s">
        <v>7</v>
      </c>
      <c r="G652">
        <v>9800.8881999999994</v>
      </c>
      <c r="H652">
        <v>111.7</v>
      </c>
      <c r="I652" t="s">
        <v>3</v>
      </c>
      <c r="J652" t="b">
        <v>1</v>
      </c>
      <c r="K652" t="s">
        <v>15</v>
      </c>
      <c r="L652">
        <v>154354.9</v>
      </c>
      <c r="M652" t="str" cm="1">
        <f t="array" ref="M652">_xlfn.IFS(A652&lt;30,"Young",A652&lt;=50,"Adult",A652&gt;50,"Senior")</f>
        <v>Adult</v>
      </c>
    </row>
    <row r="653" spans="1:13" x14ac:dyDescent="0.3">
      <c r="A653">
        <v>53</v>
      </c>
      <c r="B653" t="s">
        <v>11</v>
      </c>
      <c r="C653">
        <v>39.6</v>
      </c>
      <c r="D653">
        <v>1</v>
      </c>
      <c r="E653" t="s">
        <v>19</v>
      </c>
      <c r="F653" t="s">
        <v>7</v>
      </c>
      <c r="G653">
        <v>10579.710999999999</v>
      </c>
      <c r="H653">
        <v>122.8</v>
      </c>
      <c r="I653" t="s">
        <v>1</v>
      </c>
      <c r="J653" t="b">
        <v>0</v>
      </c>
      <c r="K653" t="s">
        <v>15</v>
      </c>
      <c r="L653">
        <v>117608.08</v>
      </c>
      <c r="M653" t="str" cm="1">
        <f t="array" ref="M653">_xlfn.IFS(A653&lt;30,"Young",A653&lt;=50,"Adult",A653&gt;50,"Senior")</f>
        <v>Senior</v>
      </c>
    </row>
    <row r="654" spans="1:13" x14ac:dyDescent="0.3">
      <c r="A654">
        <v>48</v>
      </c>
      <c r="B654" t="s">
        <v>11</v>
      </c>
      <c r="C654">
        <v>31.13</v>
      </c>
      <c r="D654">
        <v>0</v>
      </c>
      <c r="E654" t="s">
        <v>19</v>
      </c>
      <c r="F654" t="s">
        <v>7</v>
      </c>
      <c r="G654">
        <v>8280.6226999999999</v>
      </c>
      <c r="H654">
        <v>114.7</v>
      </c>
      <c r="I654" t="s">
        <v>2</v>
      </c>
      <c r="J654" t="b">
        <v>0</v>
      </c>
      <c r="K654" t="s">
        <v>14</v>
      </c>
      <c r="L654">
        <v>32717.52</v>
      </c>
      <c r="M654" t="str" cm="1">
        <f t="array" ref="M654">_xlfn.IFS(A654&lt;30,"Young",A654&lt;=50,"Adult",A654&gt;50,"Senior")</f>
        <v>Adult</v>
      </c>
    </row>
    <row r="655" spans="1:13" x14ac:dyDescent="0.3">
      <c r="A655">
        <v>45</v>
      </c>
      <c r="B655" t="s">
        <v>11</v>
      </c>
      <c r="C655">
        <v>36.299999999999997</v>
      </c>
      <c r="D655">
        <v>2</v>
      </c>
      <c r="E655" t="s">
        <v>19</v>
      </c>
      <c r="F655" t="s">
        <v>7</v>
      </c>
      <c r="G655">
        <v>8527.5319999999992</v>
      </c>
      <c r="H655">
        <v>121.7</v>
      </c>
      <c r="I655" t="s">
        <v>3</v>
      </c>
      <c r="J655" t="b">
        <v>0</v>
      </c>
      <c r="K655" t="s">
        <v>15</v>
      </c>
      <c r="L655">
        <v>197006.47</v>
      </c>
      <c r="M655" t="str" cm="1">
        <f t="array" ref="M655">_xlfn.IFS(A655&lt;30,"Young",A655&lt;=50,"Adult",A655&gt;50,"Senior")</f>
        <v>Adult</v>
      </c>
    </row>
    <row r="656" spans="1:13" x14ac:dyDescent="0.3">
      <c r="A656">
        <v>59</v>
      </c>
      <c r="B656" t="s">
        <v>11</v>
      </c>
      <c r="C656">
        <v>35.200000000000003</v>
      </c>
      <c r="D656">
        <v>0</v>
      </c>
      <c r="E656" t="s">
        <v>19</v>
      </c>
      <c r="F656" t="s">
        <v>7</v>
      </c>
      <c r="G656">
        <v>12244.531000000001</v>
      </c>
      <c r="H656">
        <v>121.4</v>
      </c>
      <c r="I656" t="s">
        <v>1</v>
      </c>
      <c r="J656" t="b">
        <v>0</v>
      </c>
      <c r="K656" t="s">
        <v>15</v>
      </c>
      <c r="L656">
        <v>170593.86</v>
      </c>
      <c r="M656" t="str" cm="1">
        <f t="array" ref="M656">_xlfn.IFS(A656&lt;30,"Young",A656&lt;=50,"Adult",A656&gt;50,"Senior")</f>
        <v>Senior</v>
      </c>
    </row>
    <row r="657" spans="1:13" x14ac:dyDescent="0.3">
      <c r="A657">
        <v>52</v>
      </c>
      <c r="B657" t="s">
        <v>11</v>
      </c>
      <c r="C657">
        <v>25.3</v>
      </c>
      <c r="D657">
        <v>2</v>
      </c>
      <c r="E657" t="s">
        <v>18</v>
      </c>
      <c r="F657" t="s">
        <v>7</v>
      </c>
      <c r="G657">
        <v>24667.419000000002</v>
      </c>
      <c r="H657">
        <v>113.8</v>
      </c>
      <c r="I657" t="s">
        <v>1</v>
      </c>
      <c r="J657" t="b">
        <v>0</v>
      </c>
      <c r="K657" t="s">
        <v>15</v>
      </c>
      <c r="L657">
        <v>157257.67000000001</v>
      </c>
      <c r="M657" t="str" cm="1">
        <f t="array" ref="M657">_xlfn.IFS(A657&lt;30,"Young",A657&lt;=50,"Adult",A657&gt;50,"Senior")</f>
        <v>Senior</v>
      </c>
    </row>
    <row r="658" spans="1:13" x14ac:dyDescent="0.3">
      <c r="A658">
        <v>26</v>
      </c>
      <c r="B658" t="s">
        <v>11</v>
      </c>
      <c r="C658">
        <v>42.4</v>
      </c>
      <c r="D658">
        <v>1</v>
      </c>
      <c r="E658" t="s">
        <v>19</v>
      </c>
      <c r="F658" t="s">
        <v>6</v>
      </c>
      <c r="G658">
        <v>3410.3240000000001</v>
      </c>
      <c r="H658">
        <v>122.1</v>
      </c>
      <c r="I658" t="s">
        <v>3</v>
      </c>
      <c r="J658" t="b">
        <v>0</v>
      </c>
      <c r="K658" t="s">
        <v>16</v>
      </c>
      <c r="L658">
        <v>44496.57</v>
      </c>
      <c r="M658" t="str" cm="1">
        <f t="array" ref="M658">_xlfn.IFS(A658&lt;30,"Young",A658&lt;=50,"Adult",A658&gt;50,"Senior")</f>
        <v>Young</v>
      </c>
    </row>
    <row r="659" spans="1:13" x14ac:dyDescent="0.3">
      <c r="A659">
        <v>27</v>
      </c>
      <c r="B659" t="s">
        <v>12</v>
      </c>
      <c r="C659">
        <v>33.155000000000001</v>
      </c>
      <c r="D659">
        <v>2</v>
      </c>
      <c r="E659" t="s">
        <v>19</v>
      </c>
      <c r="F659" t="s">
        <v>8</v>
      </c>
      <c r="G659">
        <v>4058.71245</v>
      </c>
      <c r="H659">
        <v>127.7</v>
      </c>
      <c r="I659" t="s">
        <v>2</v>
      </c>
      <c r="J659" t="b">
        <v>0</v>
      </c>
      <c r="K659" t="s">
        <v>14</v>
      </c>
      <c r="L659">
        <v>46302.13</v>
      </c>
      <c r="M659" t="str" cm="1">
        <f t="array" ref="M659">_xlfn.IFS(A659&lt;30,"Young",A659&lt;=50,"Adult",A659&gt;50,"Senior")</f>
        <v>Young</v>
      </c>
    </row>
    <row r="660" spans="1:13" x14ac:dyDescent="0.3">
      <c r="A660">
        <v>48</v>
      </c>
      <c r="B660" t="s">
        <v>11</v>
      </c>
      <c r="C660">
        <v>35.909999999999997</v>
      </c>
      <c r="D660">
        <v>1</v>
      </c>
      <c r="E660" t="s">
        <v>19</v>
      </c>
      <c r="F660" t="s">
        <v>9</v>
      </c>
      <c r="G660">
        <v>26392.260289999998</v>
      </c>
      <c r="H660">
        <v>134.69999999999999</v>
      </c>
      <c r="I660" t="s">
        <v>2</v>
      </c>
      <c r="J660" t="b">
        <v>1</v>
      </c>
      <c r="K660" t="s">
        <v>16</v>
      </c>
      <c r="L660">
        <v>181264.94</v>
      </c>
      <c r="M660" t="str" cm="1">
        <f t="array" ref="M660">_xlfn.IFS(A660&lt;30,"Young",A660&lt;=50,"Adult",A660&gt;50,"Senior")</f>
        <v>Adult</v>
      </c>
    </row>
    <row r="661" spans="1:13" x14ac:dyDescent="0.3">
      <c r="A661">
        <v>57</v>
      </c>
      <c r="B661" t="s">
        <v>11</v>
      </c>
      <c r="C661">
        <v>28.785</v>
      </c>
      <c r="D661">
        <v>4</v>
      </c>
      <c r="E661" t="s">
        <v>19</v>
      </c>
      <c r="F661" t="s">
        <v>9</v>
      </c>
      <c r="G661">
        <v>14394.398150000001</v>
      </c>
      <c r="H661">
        <v>138.69999999999999</v>
      </c>
      <c r="I661" t="s">
        <v>2</v>
      </c>
      <c r="J661" t="b">
        <v>1</v>
      </c>
      <c r="K661" t="s">
        <v>15</v>
      </c>
      <c r="L661">
        <v>199869.09</v>
      </c>
      <c r="M661" t="str" cm="1">
        <f t="array" ref="M661">_xlfn.IFS(A661&lt;30,"Young",A661&lt;=50,"Adult",A661&gt;50,"Senior")</f>
        <v>Senior</v>
      </c>
    </row>
    <row r="662" spans="1:13" x14ac:dyDescent="0.3">
      <c r="A662">
        <v>37</v>
      </c>
      <c r="B662" t="s">
        <v>12</v>
      </c>
      <c r="C662">
        <v>46.53</v>
      </c>
      <c r="D662">
        <v>3</v>
      </c>
      <c r="E662" t="s">
        <v>19</v>
      </c>
      <c r="F662" t="s">
        <v>7</v>
      </c>
      <c r="G662">
        <v>6435.6237000000001</v>
      </c>
      <c r="H662">
        <v>115.3</v>
      </c>
      <c r="I662" t="s">
        <v>2</v>
      </c>
      <c r="J662" t="b">
        <v>0</v>
      </c>
      <c r="K662" t="s">
        <v>15</v>
      </c>
      <c r="L662">
        <v>171469.25</v>
      </c>
      <c r="M662" t="str" cm="1">
        <f t="array" ref="M662">_xlfn.IFS(A662&lt;30,"Young",A662&lt;=50,"Adult",A662&gt;50,"Senior")</f>
        <v>Adult</v>
      </c>
    </row>
    <row r="663" spans="1:13" x14ac:dyDescent="0.3">
      <c r="A663">
        <v>57</v>
      </c>
      <c r="B663" t="s">
        <v>11</v>
      </c>
      <c r="C663">
        <v>23.98</v>
      </c>
      <c r="D663">
        <v>1</v>
      </c>
      <c r="E663" t="s">
        <v>19</v>
      </c>
      <c r="F663" t="s">
        <v>7</v>
      </c>
      <c r="G663">
        <v>22192.437109999999</v>
      </c>
      <c r="H663">
        <v>126.4</v>
      </c>
      <c r="I663" t="s">
        <v>3</v>
      </c>
      <c r="J663" t="b">
        <v>1</v>
      </c>
      <c r="K663" t="s">
        <v>14</v>
      </c>
      <c r="L663">
        <v>125737.61</v>
      </c>
      <c r="M663" t="str" cm="1">
        <f t="array" ref="M663">_xlfn.IFS(A663&lt;30,"Young",A663&lt;=50,"Adult",A663&gt;50,"Senior")</f>
        <v>Senior</v>
      </c>
    </row>
    <row r="664" spans="1:13" x14ac:dyDescent="0.3">
      <c r="A664">
        <v>32</v>
      </c>
      <c r="B664" t="s">
        <v>11</v>
      </c>
      <c r="C664">
        <v>31.54</v>
      </c>
      <c r="D664">
        <v>1</v>
      </c>
      <c r="E664" t="s">
        <v>19</v>
      </c>
      <c r="F664" t="s">
        <v>9</v>
      </c>
      <c r="G664">
        <v>5148.5526</v>
      </c>
      <c r="H664">
        <v>114</v>
      </c>
      <c r="I664" t="s">
        <v>0</v>
      </c>
      <c r="J664" t="b">
        <v>0</v>
      </c>
      <c r="K664" t="s">
        <v>15</v>
      </c>
      <c r="L664">
        <v>139014.03</v>
      </c>
      <c r="M664" t="str" cm="1">
        <f t="array" ref="M664">_xlfn.IFS(A664&lt;30,"Young",A664&lt;=50,"Adult",A664&gt;50,"Senior")</f>
        <v>Adult</v>
      </c>
    </row>
    <row r="665" spans="1:13" x14ac:dyDescent="0.3">
      <c r="A665">
        <v>18</v>
      </c>
      <c r="B665" t="s">
        <v>12</v>
      </c>
      <c r="C665">
        <v>33.659999999999997</v>
      </c>
      <c r="D665">
        <v>0</v>
      </c>
      <c r="E665" t="s">
        <v>19</v>
      </c>
      <c r="F665" t="s">
        <v>7</v>
      </c>
      <c r="G665">
        <v>1136.3994</v>
      </c>
      <c r="H665">
        <v>137</v>
      </c>
      <c r="I665" t="s">
        <v>1</v>
      </c>
      <c r="J665" t="b">
        <v>0</v>
      </c>
      <c r="K665" t="s">
        <v>14</v>
      </c>
      <c r="L665">
        <v>80071.59</v>
      </c>
      <c r="M665" t="str" cm="1">
        <f t="array" ref="M665">_xlfn.IFS(A665&lt;30,"Young",A665&lt;=50,"Adult",A665&gt;50,"Senior")</f>
        <v>Young</v>
      </c>
    </row>
    <row r="666" spans="1:13" x14ac:dyDescent="0.3">
      <c r="A666">
        <v>64</v>
      </c>
      <c r="B666" t="s">
        <v>11</v>
      </c>
      <c r="C666">
        <v>22.99</v>
      </c>
      <c r="D666">
        <v>0</v>
      </c>
      <c r="E666" t="s">
        <v>18</v>
      </c>
      <c r="F666" t="s">
        <v>7</v>
      </c>
      <c r="G666">
        <v>27037.914100000002</v>
      </c>
      <c r="H666">
        <v>113.5</v>
      </c>
      <c r="I666" t="s">
        <v>2</v>
      </c>
      <c r="J666" t="b">
        <v>0</v>
      </c>
      <c r="K666" t="s">
        <v>16</v>
      </c>
      <c r="L666">
        <v>141294.17000000001</v>
      </c>
      <c r="M666" t="str" cm="1">
        <f t="array" ref="M666">_xlfn.IFS(A666&lt;30,"Young",A666&lt;=50,"Adult",A666&gt;50,"Senior")</f>
        <v>Senior</v>
      </c>
    </row>
    <row r="667" spans="1:13" x14ac:dyDescent="0.3">
      <c r="A667">
        <v>43</v>
      </c>
      <c r="B667" t="s">
        <v>12</v>
      </c>
      <c r="C667">
        <v>38.06</v>
      </c>
      <c r="D667">
        <v>2</v>
      </c>
      <c r="E667" t="s">
        <v>18</v>
      </c>
      <c r="F667" t="s">
        <v>7</v>
      </c>
      <c r="G667">
        <v>42560.430399999997</v>
      </c>
      <c r="H667">
        <v>122.5</v>
      </c>
      <c r="I667" t="s">
        <v>3</v>
      </c>
      <c r="J667" t="b">
        <v>0</v>
      </c>
      <c r="K667" t="s">
        <v>14</v>
      </c>
      <c r="L667">
        <v>62985.35</v>
      </c>
      <c r="M667" t="str" cm="1">
        <f t="array" ref="M667">_xlfn.IFS(A667&lt;30,"Young",A667&lt;=50,"Adult",A667&gt;50,"Senior")</f>
        <v>Adult</v>
      </c>
    </row>
    <row r="668" spans="1:13" x14ac:dyDescent="0.3">
      <c r="A668">
        <v>49</v>
      </c>
      <c r="B668" t="s">
        <v>12</v>
      </c>
      <c r="C668">
        <v>28.7</v>
      </c>
      <c r="D668">
        <v>1</v>
      </c>
      <c r="E668" t="s">
        <v>19</v>
      </c>
      <c r="F668" t="s">
        <v>6</v>
      </c>
      <c r="G668">
        <v>8703.4560000000001</v>
      </c>
      <c r="H668">
        <v>118.6</v>
      </c>
      <c r="I668" t="s">
        <v>3</v>
      </c>
      <c r="J668" t="b">
        <v>0</v>
      </c>
      <c r="K668" t="s">
        <v>16</v>
      </c>
      <c r="L668">
        <v>133760.23000000001</v>
      </c>
      <c r="M668" t="str" cm="1">
        <f t="array" ref="M668">_xlfn.IFS(A668&lt;30,"Young",A668&lt;=50,"Adult",A668&gt;50,"Senior")</f>
        <v>Adult</v>
      </c>
    </row>
    <row r="669" spans="1:13" x14ac:dyDescent="0.3">
      <c r="A669">
        <v>40</v>
      </c>
      <c r="B669" t="s">
        <v>11</v>
      </c>
      <c r="C669">
        <v>32.774999999999999</v>
      </c>
      <c r="D669">
        <v>2</v>
      </c>
      <c r="E669" t="s">
        <v>18</v>
      </c>
      <c r="F669" t="s">
        <v>8</v>
      </c>
      <c r="G669">
        <v>40003.332249999999</v>
      </c>
      <c r="H669">
        <v>120.6</v>
      </c>
      <c r="I669" t="s">
        <v>0</v>
      </c>
      <c r="J669" t="b">
        <v>0</v>
      </c>
      <c r="K669" t="s">
        <v>15</v>
      </c>
      <c r="L669">
        <v>121776.6</v>
      </c>
      <c r="M669" t="str" cm="1">
        <f t="array" ref="M669">_xlfn.IFS(A669&lt;30,"Young",A669&lt;=50,"Adult",A669&gt;50,"Senior")</f>
        <v>Adult</v>
      </c>
    </row>
    <row r="670" spans="1:13" x14ac:dyDescent="0.3">
      <c r="A670">
        <v>62</v>
      </c>
      <c r="B670" t="s">
        <v>12</v>
      </c>
      <c r="C670">
        <v>32.015000000000001</v>
      </c>
      <c r="D670">
        <v>0</v>
      </c>
      <c r="E670" t="s">
        <v>18</v>
      </c>
      <c r="F670" t="s">
        <v>9</v>
      </c>
      <c r="G670">
        <v>45710.207849999999</v>
      </c>
      <c r="H670">
        <v>124.1</v>
      </c>
      <c r="I670" t="s">
        <v>1</v>
      </c>
      <c r="J670" t="b">
        <v>0</v>
      </c>
      <c r="K670" t="s">
        <v>16</v>
      </c>
      <c r="L670">
        <v>136255.53</v>
      </c>
      <c r="M670" t="str" cm="1">
        <f t="array" ref="M670">_xlfn.IFS(A670&lt;30,"Young",A670&lt;=50,"Adult",A670&gt;50,"Senior")</f>
        <v>Senior</v>
      </c>
    </row>
    <row r="671" spans="1:13" x14ac:dyDescent="0.3">
      <c r="A671">
        <v>40</v>
      </c>
      <c r="B671" t="s">
        <v>11</v>
      </c>
      <c r="C671">
        <v>29.81</v>
      </c>
      <c r="D671">
        <v>1</v>
      </c>
      <c r="E671" t="s">
        <v>19</v>
      </c>
      <c r="F671" t="s">
        <v>7</v>
      </c>
      <c r="G671">
        <v>6500.2358999999997</v>
      </c>
      <c r="H671">
        <v>117.5</v>
      </c>
      <c r="I671" t="s">
        <v>2</v>
      </c>
      <c r="J671" t="b">
        <v>1</v>
      </c>
      <c r="K671" t="s">
        <v>15</v>
      </c>
      <c r="L671">
        <v>106110.53</v>
      </c>
      <c r="M671" t="str" cm="1">
        <f t="array" ref="M671">_xlfn.IFS(A671&lt;30,"Young",A671&lt;=50,"Adult",A671&gt;50,"Senior")</f>
        <v>Adult</v>
      </c>
    </row>
    <row r="672" spans="1:13" x14ac:dyDescent="0.3">
      <c r="A672">
        <v>30</v>
      </c>
      <c r="B672" t="s">
        <v>12</v>
      </c>
      <c r="C672">
        <v>31.57</v>
      </c>
      <c r="D672">
        <v>3</v>
      </c>
      <c r="E672" t="s">
        <v>19</v>
      </c>
      <c r="F672" t="s">
        <v>7</v>
      </c>
      <c r="G672">
        <v>4837.5823</v>
      </c>
      <c r="H672">
        <v>119.6</v>
      </c>
      <c r="I672" t="s">
        <v>1</v>
      </c>
      <c r="J672" t="b">
        <v>1</v>
      </c>
      <c r="K672" t="s">
        <v>16</v>
      </c>
      <c r="L672">
        <v>196311.43</v>
      </c>
      <c r="M672" t="str" cm="1">
        <f t="array" ref="M672">_xlfn.IFS(A672&lt;30,"Young",A672&lt;=50,"Adult",A672&gt;50,"Senior")</f>
        <v>Adult</v>
      </c>
    </row>
    <row r="673" spans="1:13" x14ac:dyDescent="0.3">
      <c r="A673">
        <v>29</v>
      </c>
      <c r="B673" t="s">
        <v>11</v>
      </c>
      <c r="C673">
        <v>31.16</v>
      </c>
      <c r="D673">
        <v>0</v>
      </c>
      <c r="E673" t="s">
        <v>19</v>
      </c>
      <c r="F673" t="s">
        <v>9</v>
      </c>
      <c r="G673">
        <v>3943.5954000000002</v>
      </c>
      <c r="H673">
        <v>135.30000000000001</v>
      </c>
      <c r="I673" t="s">
        <v>3</v>
      </c>
      <c r="J673" t="b">
        <v>0</v>
      </c>
      <c r="K673" t="s">
        <v>15</v>
      </c>
      <c r="L673">
        <v>184432.95</v>
      </c>
      <c r="M673" t="str" cm="1">
        <f t="array" ref="M673">_xlfn.IFS(A673&lt;30,"Young",A673&lt;=50,"Adult",A673&gt;50,"Senior")</f>
        <v>Young</v>
      </c>
    </row>
    <row r="674" spans="1:13" x14ac:dyDescent="0.3">
      <c r="A674">
        <v>36</v>
      </c>
      <c r="B674" t="s">
        <v>12</v>
      </c>
      <c r="C674">
        <v>29.7</v>
      </c>
      <c r="D674">
        <v>0</v>
      </c>
      <c r="E674" t="s">
        <v>19</v>
      </c>
      <c r="F674" t="s">
        <v>7</v>
      </c>
      <c r="G674">
        <v>4399.7309999999998</v>
      </c>
      <c r="H674">
        <v>125.1</v>
      </c>
      <c r="I674" t="s">
        <v>0</v>
      </c>
      <c r="J674" t="b">
        <v>1</v>
      </c>
      <c r="K674" t="s">
        <v>16</v>
      </c>
      <c r="L674">
        <v>192669.5</v>
      </c>
      <c r="M674" t="str" cm="1">
        <f t="array" ref="M674">_xlfn.IFS(A674&lt;30,"Young",A674&lt;=50,"Adult",A674&gt;50,"Senior")</f>
        <v>Adult</v>
      </c>
    </row>
    <row r="675" spans="1:13" x14ac:dyDescent="0.3">
      <c r="A675">
        <v>41</v>
      </c>
      <c r="B675" t="s">
        <v>11</v>
      </c>
      <c r="C675">
        <v>31.02</v>
      </c>
      <c r="D675">
        <v>0</v>
      </c>
      <c r="E675" t="s">
        <v>19</v>
      </c>
      <c r="F675" t="s">
        <v>7</v>
      </c>
      <c r="G675">
        <v>6185.3208000000004</v>
      </c>
      <c r="H675">
        <v>111.9</v>
      </c>
      <c r="I675" t="s">
        <v>3</v>
      </c>
      <c r="J675" t="b">
        <v>0</v>
      </c>
      <c r="K675" t="s">
        <v>15</v>
      </c>
      <c r="L675">
        <v>101295.16</v>
      </c>
      <c r="M675" t="str" cm="1">
        <f t="array" ref="M675">_xlfn.IFS(A675&lt;30,"Young",A675&lt;=50,"Adult",A675&gt;50,"Senior")</f>
        <v>Adult</v>
      </c>
    </row>
    <row r="676" spans="1:13" x14ac:dyDescent="0.3">
      <c r="A676">
        <v>44</v>
      </c>
      <c r="B676" t="s">
        <v>11</v>
      </c>
      <c r="C676">
        <v>43.89</v>
      </c>
      <c r="D676">
        <v>2</v>
      </c>
      <c r="E676" t="s">
        <v>18</v>
      </c>
      <c r="F676" t="s">
        <v>7</v>
      </c>
      <c r="G676">
        <v>46200.985099999998</v>
      </c>
      <c r="H676">
        <v>111.6</v>
      </c>
      <c r="I676" t="s">
        <v>0</v>
      </c>
      <c r="J676" t="b">
        <v>1</v>
      </c>
      <c r="K676" t="s">
        <v>14</v>
      </c>
      <c r="L676">
        <v>64022.57</v>
      </c>
      <c r="M676" t="str" cm="1">
        <f t="array" ref="M676">_xlfn.IFS(A676&lt;30,"Young",A676&lt;=50,"Adult",A676&gt;50,"Senior")</f>
        <v>Adult</v>
      </c>
    </row>
    <row r="677" spans="1:13" x14ac:dyDescent="0.3">
      <c r="A677">
        <v>45</v>
      </c>
      <c r="B677" t="s">
        <v>12</v>
      </c>
      <c r="C677">
        <v>21.375</v>
      </c>
      <c r="D677">
        <v>0</v>
      </c>
      <c r="E677" t="s">
        <v>19</v>
      </c>
      <c r="F677" t="s">
        <v>8</v>
      </c>
      <c r="G677">
        <v>7222.7862500000001</v>
      </c>
      <c r="H677">
        <v>125.6</v>
      </c>
      <c r="I677" t="s">
        <v>3</v>
      </c>
      <c r="J677" t="b">
        <v>1</v>
      </c>
      <c r="K677" t="s">
        <v>14</v>
      </c>
      <c r="L677">
        <v>40485.629999999997</v>
      </c>
      <c r="M677" t="str" cm="1">
        <f t="array" ref="M677">_xlfn.IFS(A677&lt;30,"Young",A677&lt;=50,"Adult",A677&gt;50,"Senior")</f>
        <v>Adult</v>
      </c>
    </row>
    <row r="678" spans="1:13" x14ac:dyDescent="0.3">
      <c r="A678">
        <v>55</v>
      </c>
      <c r="B678" t="s">
        <v>11</v>
      </c>
      <c r="C678">
        <v>40.81</v>
      </c>
      <c r="D678">
        <v>3</v>
      </c>
      <c r="E678" t="s">
        <v>19</v>
      </c>
      <c r="F678" t="s">
        <v>7</v>
      </c>
      <c r="G678">
        <v>12485.8009</v>
      </c>
      <c r="H678">
        <v>115.6</v>
      </c>
      <c r="I678" t="s">
        <v>1</v>
      </c>
      <c r="J678" t="b">
        <v>1</v>
      </c>
      <c r="K678" t="s">
        <v>15</v>
      </c>
      <c r="L678">
        <v>56253.08</v>
      </c>
      <c r="M678" t="str" cm="1">
        <f t="array" ref="M678">_xlfn.IFS(A678&lt;30,"Young",A678&lt;=50,"Adult",A678&gt;50,"Senior")</f>
        <v>Senior</v>
      </c>
    </row>
    <row r="679" spans="1:13" x14ac:dyDescent="0.3">
      <c r="A679">
        <v>60</v>
      </c>
      <c r="B679" t="s">
        <v>12</v>
      </c>
      <c r="C679">
        <v>31.35</v>
      </c>
      <c r="D679">
        <v>3</v>
      </c>
      <c r="E679" t="s">
        <v>18</v>
      </c>
      <c r="F679" t="s">
        <v>8</v>
      </c>
      <c r="G679">
        <v>46130.5265</v>
      </c>
      <c r="H679">
        <v>127.9</v>
      </c>
      <c r="I679" t="s">
        <v>2</v>
      </c>
      <c r="J679" t="b">
        <v>1</v>
      </c>
      <c r="K679" t="s">
        <v>14</v>
      </c>
      <c r="L679">
        <v>128404.48</v>
      </c>
      <c r="M679" t="str" cm="1">
        <f t="array" ref="M679">_xlfn.IFS(A679&lt;30,"Young",A679&lt;=50,"Adult",A679&gt;50,"Senior")</f>
        <v>Senior</v>
      </c>
    </row>
    <row r="680" spans="1:13" x14ac:dyDescent="0.3">
      <c r="A680">
        <v>56</v>
      </c>
      <c r="B680" t="s">
        <v>12</v>
      </c>
      <c r="C680">
        <v>36.1</v>
      </c>
      <c r="D680">
        <v>3</v>
      </c>
      <c r="E680" t="s">
        <v>19</v>
      </c>
      <c r="F680" t="s">
        <v>6</v>
      </c>
      <c r="G680">
        <v>12363.547</v>
      </c>
      <c r="H680">
        <v>127.5</v>
      </c>
      <c r="I680" t="s">
        <v>1</v>
      </c>
      <c r="J680" t="b">
        <v>0</v>
      </c>
      <c r="K680" t="s">
        <v>16</v>
      </c>
      <c r="L680">
        <v>131505.34</v>
      </c>
      <c r="M680" t="str" cm="1">
        <f t="array" ref="M680">_xlfn.IFS(A680&lt;30,"Young",A680&lt;=50,"Adult",A680&gt;50,"Senior")</f>
        <v>Senior</v>
      </c>
    </row>
    <row r="681" spans="1:13" x14ac:dyDescent="0.3">
      <c r="A681">
        <v>49</v>
      </c>
      <c r="B681" t="s">
        <v>11</v>
      </c>
      <c r="C681">
        <v>23.18</v>
      </c>
      <c r="D681">
        <v>2</v>
      </c>
      <c r="E681" t="s">
        <v>19</v>
      </c>
      <c r="F681" t="s">
        <v>8</v>
      </c>
      <c r="G681">
        <v>10156.7832</v>
      </c>
      <c r="H681">
        <v>123.2</v>
      </c>
      <c r="I681" t="s">
        <v>1</v>
      </c>
      <c r="J681" t="b">
        <v>0</v>
      </c>
      <c r="K681" t="s">
        <v>16</v>
      </c>
      <c r="L681">
        <v>93032.98</v>
      </c>
      <c r="M681" t="str" cm="1">
        <f t="array" ref="M681">_xlfn.IFS(A681&lt;30,"Young",A681&lt;=50,"Adult",A681&gt;50,"Senior")</f>
        <v>Adult</v>
      </c>
    </row>
    <row r="682" spans="1:13" x14ac:dyDescent="0.3">
      <c r="A682">
        <v>21</v>
      </c>
      <c r="B682" t="s">
        <v>11</v>
      </c>
      <c r="C682">
        <v>17.399999999999999</v>
      </c>
      <c r="D682">
        <v>1</v>
      </c>
      <c r="E682" t="s">
        <v>19</v>
      </c>
      <c r="F682" t="s">
        <v>6</v>
      </c>
      <c r="G682">
        <v>2585.2689999999998</v>
      </c>
      <c r="H682">
        <v>119.4</v>
      </c>
      <c r="I682" t="s">
        <v>0</v>
      </c>
      <c r="J682" t="b">
        <v>1</v>
      </c>
      <c r="K682" t="s">
        <v>16</v>
      </c>
      <c r="L682">
        <v>169581.68</v>
      </c>
      <c r="M682" t="str" cm="1">
        <f t="array" ref="M682">_xlfn.IFS(A682&lt;30,"Young",A682&lt;=50,"Adult",A682&gt;50,"Senior")</f>
        <v>Young</v>
      </c>
    </row>
    <row r="683" spans="1:13" x14ac:dyDescent="0.3">
      <c r="A683">
        <v>19</v>
      </c>
      <c r="B683" t="s">
        <v>12</v>
      </c>
      <c r="C683">
        <v>20.3</v>
      </c>
      <c r="D683">
        <v>0</v>
      </c>
      <c r="E683" t="s">
        <v>19</v>
      </c>
      <c r="F683" t="s">
        <v>6</v>
      </c>
      <c r="G683">
        <v>1242.26</v>
      </c>
      <c r="H683">
        <v>116.3</v>
      </c>
      <c r="I683" t="s">
        <v>1</v>
      </c>
      <c r="J683" t="b">
        <v>0</v>
      </c>
      <c r="K683" t="s">
        <v>15</v>
      </c>
      <c r="L683">
        <v>112931.84</v>
      </c>
      <c r="M683" t="str" cm="1">
        <f t="array" ref="M683">_xlfn.IFS(A683&lt;30,"Young",A683&lt;=50,"Adult",A683&gt;50,"Senior")</f>
        <v>Young</v>
      </c>
    </row>
    <row r="684" spans="1:13" x14ac:dyDescent="0.3">
      <c r="A684">
        <v>39</v>
      </c>
      <c r="B684" t="s">
        <v>12</v>
      </c>
      <c r="C684">
        <v>35.299999999999997</v>
      </c>
      <c r="D684">
        <v>2</v>
      </c>
      <c r="E684" t="s">
        <v>18</v>
      </c>
      <c r="F684" t="s">
        <v>6</v>
      </c>
      <c r="G684">
        <v>40103.89</v>
      </c>
      <c r="H684">
        <v>119.7</v>
      </c>
      <c r="I684" t="s">
        <v>2</v>
      </c>
      <c r="J684" t="b">
        <v>0</v>
      </c>
      <c r="K684" t="s">
        <v>14</v>
      </c>
      <c r="L684">
        <v>104284.61</v>
      </c>
      <c r="M684" t="str" cm="1">
        <f t="array" ref="M684">_xlfn.IFS(A684&lt;30,"Young",A684&lt;=50,"Adult",A684&gt;50,"Senior")</f>
        <v>Adult</v>
      </c>
    </row>
    <row r="685" spans="1:13" x14ac:dyDescent="0.3">
      <c r="A685">
        <v>53</v>
      </c>
      <c r="B685" t="s">
        <v>12</v>
      </c>
      <c r="C685">
        <v>24.32</v>
      </c>
      <c r="D685">
        <v>0</v>
      </c>
      <c r="E685" t="s">
        <v>19</v>
      </c>
      <c r="F685" t="s">
        <v>8</v>
      </c>
      <c r="G685">
        <v>9863.4717999999993</v>
      </c>
      <c r="H685">
        <v>139.6</v>
      </c>
      <c r="I685" t="s">
        <v>1</v>
      </c>
      <c r="J685" t="b">
        <v>1</v>
      </c>
      <c r="K685" t="s">
        <v>15</v>
      </c>
      <c r="L685">
        <v>37961.97</v>
      </c>
      <c r="M685" t="str" cm="1">
        <f t="array" ref="M685">_xlfn.IFS(A685&lt;30,"Young",A685&lt;=50,"Adult",A685&gt;50,"Senior")</f>
        <v>Senior</v>
      </c>
    </row>
    <row r="686" spans="1:13" x14ac:dyDescent="0.3">
      <c r="A686">
        <v>33</v>
      </c>
      <c r="B686" t="s">
        <v>11</v>
      </c>
      <c r="C686">
        <v>18.5</v>
      </c>
      <c r="D686">
        <v>1</v>
      </c>
      <c r="E686" t="s">
        <v>19</v>
      </c>
      <c r="F686" t="s">
        <v>6</v>
      </c>
      <c r="G686">
        <v>4766.0219999999999</v>
      </c>
      <c r="H686">
        <v>131.6</v>
      </c>
      <c r="I686" t="s">
        <v>1</v>
      </c>
      <c r="J686" t="b">
        <v>1</v>
      </c>
      <c r="K686" t="s">
        <v>15</v>
      </c>
      <c r="L686">
        <v>101521.44</v>
      </c>
      <c r="M686" t="str" cm="1">
        <f t="array" ref="M686">_xlfn.IFS(A686&lt;30,"Young",A686&lt;=50,"Adult",A686&gt;50,"Senior")</f>
        <v>Adult</v>
      </c>
    </row>
    <row r="687" spans="1:13" x14ac:dyDescent="0.3">
      <c r="A687">
        <v>53</v>
      </c>
      <c r="B687" t="s">
        <v>12</v>
      </c>
      <c r="C687">
        <v>26.41</v>
      </c>
      <c r="D687">
        <v>2</v>
      </c>
      <c r="E687" t="s">
        <v>19</v>
      </c>
      <c r="F687" t="s">
        <v>9</v>
      </c>
      <c r="G687">
        <v>11244.376899999999</v>
      </c>
      <c r="H687">
        <v>131.9</v>
      </c>
      <c r="I687" t="s">
        <v>0</v>
      </c>
      <c r="J687" t="b">
        <v>0</v>
      </c>
      <c r="K687" t="s">
        <v>14</v>
      </c>
      <c r="L687">
        <v>131226.07999999999</v>
      </c>
      <c r="M687" t="str" cm="1">
        <f t="array" ref="M687">_xlfn.IFS(A687&lt;30,"Young",A687&lt;=50,"Adult",A687&gt;50,"Senior")</f>
        <v>Senior</v>
      </c>
    </row>
    <row r="688" spans="1:13" x14ac:dyDescent="0.3">
      <c r="A688">
        <v>42</v>
      </c>
      <c r="B688" t="s">
        <v>12</v>
      </c>
      <c r="C688">
        <v>26.125</v>
      </c>
      <c r="D688">
        <v>2</v>
      </c>
      <c r="E688" t="s">
        <v>19</v>
      </c>
      <c r="F688" t="s">
        <v>9</v>
      </c>
      <c r="G688">
        <v>7729.6457499999997</v>
      </c>
      <c r="H688">
        <v>131.9</v>
      </c>
      <c r="I688" t="s">
        <v>1</v>
      </c>
      <c r="J688" t="b">
        <v>0</v>
      </c>
      <c r="K688" t="s">
        <v>15</v>
      </c>
      <c r="L688">
        <v>64126.42</v>
      </c>
      <c r="M688" t="str" cm="1">
        <f t="array" ref="M688">_xlfn.IFS(A688&lt;30,"Young",A688&lt;=50,"Adult",A688&gt;50,"Senior")</f>
        <v>Adult</v>
      </c>
    </row>
    <row r="689" spans="1:13" x14ac:dyDescent="0.3">
      <c r="A689">
        <v>40</v>
      </c>
      <c r="B689" t="s">
        <v>12</v>
      </c>
      <c r="C689">
        <v>41.69</v>
      </c>
      <c r="D689">
        <v>0</v>
      </c>
      <c r="E689" t="s">
        <v>19</v>
      </c>
      <c r="F689" t="s">
        <v>7</v>
      </c>
      <c r="G689">
        <v>5438.7491</v>
      </c>
      <c r="H689">
        <v>138.5</v>
      </c>
      <c r="I689" t="s">
        <v>0</v>
      </c>
      <c r="J689" t="b">
        <v>0</v>
      </c>
      <c r="K689" t="s">
        <v>16</v>
      </c>
      <c r="L689">
        <v>81538.31</v>
      </c>
      <c r="M689" t="str" cm="1">
        <f t="array" ref="M689">_xlfn.IFS(A689&lt;30,"Young",A689&lt;=50,"Adult",A689&gt;50,"Senior")</f>
        <v>Adult</v>
      </c>
    </row>
    <row r="690" spans="1:13" x14ac:dyDescent="0.3">
      <c r="A690">
        <v>47</v>
      </c>
      <c r="B690" t="s">
        <v>11</v>
      </c>
      <c r="C690">
        <v>24.1</v>
      </c>
      <c r="D690">
        <v>1</v>
      </c>
      <c r="E690" t="s">
        <v>19</v>
      </c>
      <c r="F690" t="s">
        <v>6</v>
      </c>
      <c r="G690">
        <v>26236.579969999999</v>
      </c>
      <c r="H690">
        <v>111.9</v>
      </c>
      <c r="I690" t="s">
        <v>2</v>
      </c>
      <c r="J690" t="b">
        <v>1</v>
      </c>
      <c r="K690" t="s">
        <v>15</v>
      </c>
      <c r="L690">
        <v>199819.77</v>
      </c>
      <c r="M690" t="str" cm="1">
        <f t="array" ref="M690">_xlfn.IFS(A690&lt;30,"Young",A690&lt;=50,"Adult",A690&gt;50,"Senior")</f>
        <v>Adult</v>
      </c>
    </row>
    <row r="691" spans="1:13" x14ac:dyDescent="0.3">
      <c r="A691">
        <v>27</v>
      </c>
      <c r="B691" t="s">
        <v>12</v>
      </c>
      <c r="C691">
        <v>31.13</v>
      </c>
      <c r="D691">
        <v>1</v>
      </c>
      <c r="E691" t="s">
        <v>18</v>
      </c>
      <c r="F691" t="s">
        <v>7</v>
      </c>
      <c r="G691">
        <v>34806.467700000001</v>
      </c>
      <c r="H691">
        <v>127.4</v>
      </c>
      <c r="I691" t="s">
        <v>0</v>
      </c>
      <c r="J691" t="b">
        <v>0</v>
      </c>
      <c r="K691" t="s">
        <v>14</v>
      </c>
      <c r="L691">
        <v>185084.77</v>
      </c>
      <c r="M691" t="str" cm="1">
        <f t="array" ref="M691">_xlfn.IFS(A691&lt;30,"Young",A691&lt;=50,"Adult",A691&gt;50,"Senior")</f>
        <v>Young</v>
      </c>
    </row>
    <row r="692" spans="1:13" x14ac:dyDescent="0.3">
      <c r="A692">
        <v>21</v>
      </c>
      <c r="B692" t="s">
        <v>12</v>
      </c>
      <c r="C692">
        <v>27.36</v>
      </c>
      <c r="D692">
        <v>0</v>
      </c>
      <c r="E692" t="s">
        <v>19</v>
      </c>
      <c r="F692" t="s">
        <v>9</v>
      </c>
      <c r="G692">
        <v>2104.1134000000002</v>
      </c>
      <c r="H692">
        <v>132.19999999999999</v>
      </c>
      <c r="I692" t="s">
        <v>1</v>
      </c>
      <c r="J692" t="b">
        <v>0</v>
      </c>
      <c r="K692" t="s">
        <v>14</v>
      </c>
      <c r="L692">
        <v>163951.93</v>
      </c>
      <c r="M692" t="str" cm="1">
        <f t="array" ref="M692">_xlfn.IFS(A692&lt;30,"Young",A692&lt;=50,"Adult",A692&gt;50,"Senior")</f>
        <v>Young</v>
      </c>
    </row>
    <row r="693" spans="1:13" x14ac:dyDescent="0.3">
      <c r="A693">
        <v>47</v>
      </c>
      <c r="B693" t="s">
        <v>12</v>
      </c>
      <c r="C693">
        <v>36.200000000000003</v>
      </c>
      <c r="D693">
        <v>1</v>
      </c>
      <c r="E693" t="s">
        <v>19</v>
      </c>
      <c r="F693" t="s">
        <v>6</v>
      </c>
      <c r="G693">
        <v>8068.1850000000004</v>
      </c>
      <c r="H693">
        <v>131</v>
      </c>
      <c r="I693" t="s">
        <v>3</v>
      </c>
      <c r="J693" t="b">
        <v>1</v>
      </c>
      <c r="K693" t="s">
        <v>14</v>
      </c>
      <c r="L693">
        <v>122000.52</v>
      </c>
      <c r="M693" t="str" cm="1">
        <f t="array" ref="M693">_xlfn.IFS(A693&lt;30,"Young",A693&lt;=50,"Adult",A693&gt;50,"Senior")</f>
        <v>Adult</v>
      </c>
    </row>
    <row r="694" spans="1:13" x14ac:dyDescent="0.3">
      <c r="A694">
        <v>20</v>
      </c>
      <c r="B694" t="s">
        <v>12</v>
      </c>
      <c r="C694">
        <v>32.395000000000003</v>
      </c>
      <c r="D694">
        <v>1</v>
      </c>
      <c r="E694" t="s">
        <v>19</v>
      </c>
      <c r="F694" t="s">
        <v>8</v>
      </c>
      <c r="G694">
        <v>2362.2290499999999</v>
      </c>
      <c r="H694">
        <v>114.6</v>
      </c>
      <c r="I694" t="s">
        <v>3</v>
      </c>
      <c r="J694" t="b">
        <v>0</v>
      </c>
      <c r="K694" t="s">
        <v>15</v>
      </c>
      <c r="L694">
        <v>92190.21</v>
      </c>
      <c r="M694" t="str" cm="1">
        <f t="array" ref="M694">_xlfn.IFS(A694&lt;30,"Young",A694&lt;=50,"Adult",A694&gt;50,"Senior")</f>
        <v>Young</v>
      </c>
    </row>
    <row r="695" spans="1:13" x14ac:dyDescent="0.3">
      <c r="A695">
        <v>24</v>
      </c>
      <c r="B695" t="s">
        <v>12</v>
      </c>
      <c r="C695">
        <v>23.655000000000001</v>
      </c>
      <c r="D695">
        <v>0</v>
      </c>
      <c r="E695" t="s">
        <v>19</v>
      </c>
      <c r="F695" t="s">
        <v>8</v>
      </c>
      <c r="G695">
        <v>2352.9684499999998</v>
      </c>
      <c r="H695">
        <v>112.7</v>
      </c>
      <c r="I695" t="s">
        <v>0</v>
      </c>
      <c r="J695" t="b">
        <v>0</v>
      </c>
      <c r="K695" t="s">
        <v>14</v>
      </c>
      <c r="L695">
        <v>133366.82999999999</v>
      </c>
      <c r="M695" t="str" cm="1">
        <f t="array" ref="M695">_xlfn.IFS(A695&lt;30,"Young",A695&lt;=50,"Adult",A695&gt;50,"Senior")</f>
        <v>Young</v>
      </c>
    </row>
    <row r="696" spans="1:13" x14ac:dyDescent="0.3">
      <c r="A696">
        <v>27</v>
      </c>
      <c r="B696" t="s">
        <v>11</v>
      </c>
      <c r="C696">
        <v>34.799999999999997</v>
      </c>
      <c r="D696">
        <v>1</v>
      </c>
      <c r="E696" t="s">
        <v>19</v>
      </c>
      <c r="F696" t="s">
        <v>6</v>
      </c>
      <c r="G696">
        <v>3577.9989999999998</v>
      </c>
      <c r="H696">
        <v>119.5</v>
      </c>
      <c r="I696" t="s">
        <v>3</v>
      </c>
      <c r="J696" t="b">
        <v>1</v>
      </c>
      <c r="K696" t="s">
        <v>14</v>
      </c>
      <c r="L696">
        <v>86607.43</v>
      </c>
      <c r="M696" t="str" cm="1">
        <f t="array" ref="M696">_xlfn.IFS(A696&lt;30,"Young",A696&lt;=50,"Adult",A696&gt;50,"Senior")</f>
        <v>Young</v>
      </c>
    </row>
    <row r="697" spans="1:13" x14ac:dyDescent="0.3">
      <c r="A697">
        <v>26</v>
      </c>
      <c r="B697" t="s">
        <v>11</v>
      </c>
      <c r="C697">
        <v>40.185000000000002</v>
      </c>
      <c r="D697">
        <v>0</v>
      </c>
      <c r="E697" t="s">
        <v>19</v>
      </c>
      <c r="F697" t="s">
        <v>8</v>
      </c>
      <c r="G697">
        <v>3201.2451500000002</v>
      </c>
      <c r="H697">
        <v>119.8</v>
      </c>
      <c r="I697" t="s">
        <v>0</v>
      </c>
      <c r="J697" t="b">
        <v>0</v>
      </c>
      <c r="K697" t="s">
        <v>16</v>
      </c>
      <c r="L697">
        <v>65061.34</v>
      </c>
      <c r="M697" t="str" cm="1">
        <f t="array" ref="M697">_xlfn.IFS(A697&lt;30,"Young",A697&lt;=50,"Adult",A697&gt;50,"Senior")</f>
        <v>Young</v>
      </c>
    </row>
    <row r="698" spans="1:13" x14ac:dyDescent="0.3">
      <c r="A698">
        <v>53</v>
      </c>
      <c r="B698" t="s">
        <v>11</v>
      </c>
      <c r="C698">
        <v>32.299999999999997</v>
      </c>
      <c r="D698">
        <v>2</v>
      </c>
      <c r="E698" t="s">
        <v>19</v>
      </c>
      <c r="F698" t="s">
        <v>9</v>
      </c>
      <c r="G698">
        <v>29186.482360000002</v>
      </c>
      <c r="H698">
        <v>133.80000000000001</v>
      </c>
      <c r="I698" t="s">
        <v>3</v>
      </c>
      <c r="J698" t="b">
        <v>1</v>
      </c>
      <c r="K698" t="s">
        <v>15</v>
      </c>
      <c r="L698">
        <v>76255.12</v>
      </c>
      <c r="M698" t="str" cm="1">
        <f t="array" ref="M698">_xlfn.IFS(A698&lt;30,"Young",A698&lt;=50,"Adult",A698&gt;50,"Senior")</f>
        <v>Senior</v>
      </c>
    </row>
    <row r="699" spans="1:13" x14ac:dyDescent="0.3">
      <c r="A699">
        <v>41</v>
      </c>
      <c r="B699" t="s">
        <v>12</v>
      </c>
      <c r="C699">
        <v>35.75</v>
      </c>
      <c r="D699">
        <v>1</v>
      </c>
      <c r="E699" t="s">
        <v>18</v>
      </c>
      <c r="F699" t="s">
        <v>7</v>
      </c>
      <c r="G699">
        <v>40273.645499999999</v>
      </c>
      <c r="H699">
        <v>120.6</v>
      </c>
      <c r="I699" t="s">
        <v>3</v>
      </c>
      <c r="J699" t="b">
        <v>0</v>
      </c>
      <c r="K699" t="s">
        <v>15</v>
      </c>
      <c r="L699">
        <v>153293.32999999999</v>
      </c>
      <c r="M699" t="str" cm="1">
        <f t="array" ref="M699">_xlfn.IFS(A699&lt;30,"Young",A699&lt;=50,"Adult",A699&gt;50,"Senior")</f>
        <v>Adult</v>
      </c>
    </row>
    <row r="700" spans="1:13" x14ac:dyDescent="0.3">
      <c r="A700">
        <v>56</v>
      </c>
      <c r="B700" t="s">
        <v>12</v>
      </c>
      <c r="C700">
        <v>33.725000000000001</v>
      </c>
      <c r="D700">
        <v>0</v>
      </c>
      <c r="E700" t="s">
        <v>19</v>
      </c>
      <c r="F700" t="s">
        <v>8</v>
      </c>
      <c r="G700">
        <v>10976.24575</v>
      </c>
      <c r="H700">
        <v>114</v>
      </c>
      <c r="I700" t="s">
        <v>2</v>
      </c>
      <c r="J700" t="b">
        <v>0</v>
      </c>
      <c r="K700" t="s">
        <v>14</v>
      </c>
      <c r="L700">
        <v>65300.37</v>
      </c>
      <c r="M700" t="str" cm="1">
        <f t="array" ref="M700">_xlfn.IFS(A700&lt;30,"Young",A700&lt;=50,"Adult",A700&gt;50,"Senior")</f>
        <v>Senior</v>
      </c>
    </row>
    <row r="701" spans="1:13" x14ac:dyDescent="0.3">
      <c r="A701">
        <v>23</v>
      </c>
      <c r="B701" t="s">
        <v>11</v>
      </c>
      <c r="C701">
        <v>39.270000000000003</v>
      </c>
      <c r="D701">
        <v>2</v>
      </c>
      <c r="E701" t="s">
        <v>19</v>
      </c>
      <c r="F701" t="s">
        <v>7</v>
      </c>
      <c r="G701">
        <v>3500.6122999999998</v>
      </c>
      <c r="H701">
        <v>120.8</v>
      </c>
      <c r="I701" t="s">
        <v>2</v>
      </c>
      <c r="J701" t="b">
        <v>1</v>
      </c>
      <c r="K701" t="s">
        <v>15</v>
      </c>
      <c r="L701">
        <v>121971.24</v>
      </c>
      <c r="M701" t="str" cm="1">
        <f t="array" ref="M701">_xlfn.IFS(A701&lt;30,"Young",A701&lt;=50,"Adult",A701&gt;50,"Senior")</f>
        <v>Young</v>
      </c>
    </row>
    <row r="702" spans="1:13" x14ac:dyDescent="0.3">
      <c r="A702">
        <v>21</v>
      </c>
      <c r="B702" t="s">
        <v>11</v>
      </c>
      <c r="C702">
        <v>34.869999999999997</v>
      </c>
      <c r="D702">
        <v>0</v>
      </c>
      <c r="E702" t="s">
        <v>19</v>
      </c>
      <c r="F702" t="s">
        <v>7</v>
      </c>
      <c r="G702">
        <v>2020.5523000000001</v>
      </c>
      <c r="H702">
        <v>123.5</v>
      </c>
      <c r="I702" t="s">
        <v>1</v>
      </c>
      <c r="J702" t="b">
        <v>0</v>
      </c>
      <c r="K702" t="s">
        <v>16</v>
      </c>
      <c r="L702">
        <v>67826.97</v>
      </c>
      <c r="M702" t="str" cm="1">
        <f t="array" ref="M702">_xlfn.IFS(A702&lt;30,"Young",A702&lt;=50,"Adult",A702&gt;50,"Senior")</f>
        <v>Young</v>
      </c>
    </row>
    <row r="703" spans="1:13" x14ac:dyDescent="0.3">
      <c r="A703">
        <v>50</v>
      </c>
      <c r="B703" t="s">
        <v>11</v>
      </c>
      <c r="C703">
        <v>44.744999999999997</v>
      </c>
      <c r="D703">
        <v>0</v>
      </c>
      <c r="E703" t="s">
        <v>19</v>
      </c>
      <c r="F703" t="s">
        <v>9</v>
      </c>
      <c r="G703">
        <v>9541.6955500000004</v>
      </c>
      <c r="H703">
        <v>121.5</v>
      </c>
      <c r="I703" t="s">
        <v>3</v>
      </c>
      <c r="J703" t="b">
        <v>0</v>
      </c>
      <c r="K703" t="s">
        <v>15</v>
      </c>
      <c r="L703">
        <v>193820.52</v>
      </c>
      <c r="M703" t="str" cm="1">
        <f t="array" ref="M703">_xlfn.IFS(A703&lt;30,"Young",A703&lt;=50,"Adult",A703&gt;50,"Senior")</f>
        <v>Adult</v>
      </c>
    </row>
    <row r="704" spans="1:13" x14ac:dyDescent="0.3">
      <c r="A704">
        <v>53</v>
      </c>
      <c r="B704" t="s">
        <v>12</v>
      </c>
      <c r="C704">
        <v>41.47</v>
      </c>
      <c r="D704">
        <v>0</v>
      </c>
      <c r="E704" t="s">
        <v>19</v>
      </c>
      <c r="F704" t="s">
        <v>7</v>
      </c>
      <c r="G704">
        <v>9504.3102999999992</v>
      </c>
      <c r="H704">
        <v>123.7</v>
      </c>
      <c r="I704" t="s">
        <v>2</v>
      </c>
      <c r="J704" t="b">
        <v>1</v>
      </c>
      <c r="K704" t="s">
        <v>16</v>
      </c>
      <c r="L704">
        <v>51199.46</v>
      </c>
      <c r="M704" t="str" cm="1">
        <f t="array" ref="M704">_xlfn.IFS(A704&lt;30,"Young",A704&lt;=50,"Adult",A704&gt;50,"Senior")</f>
        <v>Senior</v>
      </c>
    </row>
    <row r="705" spans="1:13" x14ac:dyDescent="0.3">
      <c r="A705">
        <v>34</v>
      </c>
      <c r="B705" t="s">
        <v>11</v>
      </c>
      <c r="C705">
        <v>26.41</v>
      </c>
      <c r="D705">
        <v>1</v>
      </c>
      <c r="E705" t="s">
        <v>19</v>
      </c>
      <c r="F705" t="s">
        <v>8</v>
      </c>
      <c r="G705">
        <v>5385.3379000000004</v>
      </c>
      <c r="H705">
        <v>135.5</v>
      </c>
      <c r="I705" t="s">
        <v>0</v>
      </c>
      <c r="J705" t="b">
        <v>1</v>
      </c>
      <c r="K705" t="s">
        <v>16</v>
      </c>
      <c r="L705">
        <v>94337.31</v>
      </c>
      <c r="M705" t="str" cm="1">
        <f t="array" ref="M705">_xlfn.IFS(A705&lt;30,"Young",A705&lt;=50,"Adult",A705&gt;50,"Senior")</f>
        <v>Adult</v>
      </c>
    </row>
    <row r="706" spans="1:13" x14ac:dyDescent="0.3">
      <c r="A706">
        <v>47</v>
      </c>
      <c r="B706" t="s">
        <v>11</v>
      </c>
      <c r="C706">
        <v>29.545000000000002</v>
      </c>
      <c r="D706">
        <v>1</v>
      </c>
      <c r="E706" t="s">
        <v>19</v>
      </c>
      <c r="F706" t="s">
        <v>8</v>
      </c>
      <c r="G706">
        <v>8930.9345499999999</v>
      </c>
      <c r="H706">
        <v>135.6</v>
      </c>
      <c r="I706" t="s">
        <v>2</v>
      </c>
      <c r="J706" t="b">
        <v>1</v>
      </c>
      <c r="K706" t="s">
        <v>16</v>
      </c>
      <c r="L706">
        <v>60884.88</v>
      </c>
      <c r="M706" t="str" cm="1">
        <f t="array" ref="M706">_xlfn.IFS(A706&lt;30,"Young",A706&lt;=50,"Adult",A706&gt;50,"Senior")</f>
        <v>Adult</v>
      </c>
    </row>
    <row r="707" spans="1:13" x14ac:dyDescent="0.3">
      <c r="A707">
        <v>33</v>
      </c>
      <c r="B707" t="s">
        <v>11</v>
      </c>
      <c r="C707">
        <v>32.9</v>
      </c>
      <c r="D707">
        <v>2</v>
      </c>
      <c r="E707" t="s">
        <v>19</v>
      </c>
      <c r="F707" t="s">
        <v>6</v>
      </c>
      <c r="G707">
        <v>5375.0379999999996</v>
      </c>
      <c r="H707">
        <v>127.6</v>
      </c>
      <c r="I707" t="s">
        <v>1</v>
      </c>
      <c r="J707" t="b">
        <v>0</v>
      </c>
      <c r="K707" t="s">
        <v>15</v>
      </c>
      <c r="L707">
        <v>65453.64</v>
      </c>
      <c r="M707" t="str" cm="1">
        <f t="array" ref="M707">_xlfn.IFS(A707&lt;30,"Young",A707&lt;=50,"Adult",A707&gt;50,"Senior")</f>
        <v>Adult</v>
      </c>
    </row>
    <row r="708" spans="1:13" x14ac:dyDescent="0.3">
      <c r="A708">
        <v>51</v>
      </c>
      <c r="B708" t="s">
        <v>11</v>
      </c>
      <c r="C708">
        <v>38.06</v>
      </c>
      <c r="D708">
        <v>0</v>
      </c>
      <c r="E708" t="s">
        <v>18</v>
      </c>
      <c r="F708" t="s">
        <v>7</v>
      </c>
      <c r="G708">
        <v>44400.4064</v>
      </c>
      <c r="H708">
        <v>113.9</v>
      </c>
      <c r="I708" t="s">
        <v>3</v>
      </c>
      <c r="J708" t="b">
        <v>0</v>
      </c>
      <c r="K708" t="s">
        <v>14</v>
      </c>
      <c r="L708">
        <v>73604.78</v>
      </c>
      <c r="M708" t="str" cm="1">
        <f t="array" ref="M708">_xlfn.IFS(A708&lt;30,"Young",A708&lt;=50,"Adult",A708&gt;50,"Senior")</f>
        <v>Senior</v>
      </c>
    </row>
    <row r="709" spans="1:13" x14ac:dyDescent="0.3">
      <c r="A709">
        <v>49</v>
      </c>
      <c r="B709" t="s">
        <v>12</v>
      </c>
      <c r="C709">
        <v>28.69</v>
      </c>
      <c r="D709">
        <v>3</v>
      </c>
      <c r="E709" t="s">
        <v>19</v>
      </c>
      <c r="F709" t="s">
        <v>8</v>
      </c>
      <c r="G709">
        <v>10264.4421</v>
      </c>
      <c r="H709">
        <v>125.9</v>
      </c>
      <c r="I709" t="s">
        <v>1</v>
      </c>
      <c r="J709" t="b">
        <v>1</v>
      </c>
      <c r="K709" t="s">
        <v>15</v>
      </c>
      <c r="L709">
        <v>46851.02</v>
      </c>
      <c r="M709" t="str" cm="1">
        <f t="array" ref="M709">_xlfn.IFS(A709&lt;30,"Young",A709&lt;=50,"Adult",A709&gt;50,"Senior")</f>
        <v>Adult</v>
      </c>
    </row>
    <row r="710" spans="1:13" x14ac:dyDescent="0.3">
      <c r="A710">
        <v>31</v>
      </c>
      <c r="B710" t="s">
        <v>11</v>
      </c>
      <c r="C710">
        <v>30.495000000000001</v>
      </c>
      <c r="D710">
        <v>3</v>
      </c>
      <c r="E710" t="s">
        <v>19</v>
      </c>
      <c r="F710" t="s">
        <v>9</v>
      </c>
      <c r="G710">
        <v>6113.2310500000003</v>
      </c>
      <c r="H710">
        <v>115.5</v>
      </c>
      <c r="I710" t="s">
        <v>0</v>
      </c>
      <c r="J710" t="b">
        <v>0</v>
      </c>
      <c r="K710" t="s">
        <v>14</v>
      </c>
      <c r="L710">
        <v>156016.21</v>
      </c>
      <c r="M710" t="str" cm="1">
        <f t="array" ref="M710">_xlfn.IFS(A710&lt;30,"Young",A710&lt;=50,"Adult",A710&gt;50,"Senior")</f>
        <v>Adult</v>
      </c>
    </row>
    <row r="711" spans="1:13" x14ac:dyDescent="0.3">
      <c r="A711">
        <v>36</v>
      </c>
      <c r="B711" t="s">
        <v>11</v>
      </c>
      <c r="C711">
        <v>27.74</v>
      </c>
      <c r="D711">
        <v>0</v>
      </c>
      <c r="E711" t="s">
        <v>19</v>
      </c>
      <c r="F711" t="s">
        <v>9</v>
      </c>
      <c r="G711">
        <v>5469.0065999999997</v>
      </c>
      <c r="H711">
        <v>138.6</v>
      </c>
      <c r="I711" t="s">
        <v>0</v>
      </c>
      <c r="J711" t="b">
        <v>0</v>
      </c>
      <c r="K711" t="s">
        <v>15</v>
      </c>
      <c r="L711">
        <v>175325.65</v>
      </c>
      <c r="M711" t="str" cm="1">
        <f t="array" ref="M711">_xlfn.IFS(A711&lt;30,"Young",A711&lt;=50,"Adult",A711&gt;50,"Senior")</f>
        <v>Adult</v>
      </c>
    </row>
    <row r="712" spans="1:13" x14ac:dyDescent="0.3">
      <c r="A712">
        <v>18</v>
      </c>
      <c r="B712" t="s">
        <v>12</v>
      </c>
      <c r="C712">
        <v>35.200000000000003</v>
      </c>
      <c r="D712">
        <v>1</v>
      </c>
      <c r="E712" t="s">
        <v>19</v>
      </c>
      <c r="F712" t="s">
        <v>7</v>
      </c>
      <c r="G712">
        <v>1727.54</v>
      </c>
      <c r="H712">
        <v>139.69999999999999</v>
      </c>
      <c r="I712" t="s">
        <v>2</v>
      </c>
      <c r="J712" t="b">
        <v>0</v>
      </c>
      <c r="K712" t="s">
        <v>15</v>
      </c>
      <c r="L712">
        <v>42980.78</v>
      </c>
      <c r="M712" t="str" cm="1">
        <f t="array" ref="M712">_xlfn.IFS(A712&lt;30,"Young",A712&lt;=50,"Adult",A712&gt;50,"Senior")</f>
        <v>Young</v>
      </c>
    </row>
    <row r="713" spans="1:13" x14ac:dyDescent="0.3">
      <c r="A713">
        <v>50</v>
      </c>
      <c r="B713" t="s">
        <v>11</v>
      </c>
      <c r="C713">
        <v>23.54</v>
      </c>
      <c r="D713">
        <v>2</v>
      </c>
      <c r="E713" t="s">
        <v>19</v>
      </c>
      <c r="F713" t="s">
        <v>7</v>
      </c>
      <c r="G713">
        <v>10107.220600000001</v>
      </c>
      <c r="H713">
        <v>133.69999999999999</v>
      </c>
      <c r="I713" t="s">
        <v>3</v>
      </c>
      <c r="J713" t="b">
        <v>1</v>
      </c>
      <c r="K713" t="s">
        <v>15</v>
      </c>
      <c r="L713">
        <v>128306.82</v>
      </c>
      <c r="M713" t="str" cm="1">
        <f t="array" ref="M713">_xlfn.IFS(A713&lt;30,"Young",A713&lt;=50,"Adult",A713&gt;50,"Senior")</f>
        <v>Adult</v>
      </c>
    </row>
    <row r="714" spans="1:13" x14ac:dyDescent="0.3">
      <c r="A714">
        <v>43</v>
      </c>
      <c r="B714" t="s">
        <v>11</v>
      </c>
      <c r="C714">
        <v>30.684999999999999</v>
      </c>
      <c r="D714">
        <v>2</v>
      </c>
      <c r="E714" t="s">
        <v>19</v>
      </c>
      <c r="F714" t="s">
        <v>8</v>
      </c>
      <c r="G714">
        <v>8310.8391499999998</v>
      </c>
      <c r="H714">
        <v>131.1</v>
      </c>
      <c r="I714" t="s">
        <v>3</v>
      </c>
      <c r="J714" t="b">
        <v>0</v>
      </c>
      <c r="K714" t="s">
        <v>15</v>
      </c>
      <c r="L714">
        <v>48784.62</v>
      </c>
      <c r="M714" t="str" cm="1">
        <f t="array" ref="M714">_xlfn.IFS(A714&lt;30,"Young",A714&lt;=50,"Adult",A714&gt;50,"Senior")</f>
        <v>Adult</v>
      </c>
    </row>
    <row r="715" spans="1:13" x14ac:dyDescent="0.3">
      <c r="A715">
        <v>20</v>
      </c>
      <c r="B715" t="s">
        <v>12</v>
      </c>
      <c r="C715">
        <v>40.47</v>
      </c>
      <c r="D715">
        <v>0</v>
      </c>
      <c r="E715" t="s">
        <v>19</v>
      </c>
      <c r="F715" t="s">
        <v>9</v>
      </c>
      <c r="G715">
        <v>1984.4532999999999</v>
      </c>
      <c r="H715">
        <v>115.6</v>
      </c>
      <c r="I715" t="s">
        <v>3</v>
      </c>
      <c r="J715" t="b">
        <v>1</v>
      </c>
      <c r="K715" t="s">
        <v>14</v>
      </c>
      <c r="L715">
        <v>72314.83</v>
      </c>
      <c r="M715" t="str" cm="1">
        <f t="array" ref="M715">_xlfn.IFS(A715&lt;30,"Young",A715&lt;=50,"Adult",A715&gt;50,"Senior")</f>
        <v>Young</v>
      </c>
    </row>
    <row r="716" spans="1:13" x14ac:dyDescent="0.3">
      <c r="A716">
        <v>24</v>
      </c>
      <c r="B716" t="s">
        <v>11</v>
      </c>
      <c r="C716">
        <v>22.6</v>
      </c>
      <c r="D716">
        <v>0</v>
      </c>
      <c r="E716" t="s">
        <v>19</v>
      </c>
      <c r="F716" t="s">
        <v>6</v>
      </c>
      <c r="G716">
        <v>2457.502</v>
      </c>
      <c r="H716">
        <v>126.7</v>
      </c>
      <c r="I716" t="s">
        <v>0</v>
      </c>
      <c r="J716" t="b">
        <v>0</v>
      </c>
      <c r="K716" t="s">
        <v>15</v>
      </c>
      <c r="L716">
        <v>70404.84</v>
      </c>
      <c r="M716" t="str" cm="1">
        <f t="array" ref="M716">_xlfn.IFS(A716&lt;30,"Young",A716&lt;=50,"Adult",A716&gt;50,"Senior")</f>
        <v>Young</v>
      </c>
    </row>
    <row r="717" spans="1:13" x14ac:dyDescent="0.3">
      <c r="A717">
        <v>60</v>
      </c>
      <c r="B717" t="s">
        <v>12</v>
      </c>
      <c r="C717">
        <v>28.9</v>
      </c>
      <c r="D717">
        <v>0</v>
      </c>
      <c r="E717" t="s">
        <v>19</v>
      </c>
      <c r="F717" t="s">
        <v>6</v>
      </c>
      <c r="G717">
        <v>12146.971</v>
      </c>
      <c r="H717">
        <v>127.1</v>
      </c>
      <c r="I717" t="s">
        <v>1</v>
      </c>
      <c r="J717" t="b">
        <v>1</v>
      </c>
      <c r="K717" t="s">
        <v>15</v>
      </c>
      <c r="L717">
        <v>101081.81</v>
      </c>
      <c r="M717" t="str" cm="1">
        <f t="array" ref="M717">_xlfn.IFS(A717&lt;30,"Young",A717&lt;=50,"Adult",A717&gt;50,"Senior")</f>
        <v>Senior</v>
      </c>
    </row>
    <row r="718" spans="1:13" x14ac:dyDescent="0.3">
      <c r="A718">
        <v>49</v>
      </c>
      <c r="B718" t="s">
        <v>11</v>
      </c>
      <c r="C718">
        <v>22.61</v>
      </c>
      <c r="D718">
        <v>1</v>
      </c>
      <c r="E718" t="s">
        <v>19</v>
      </c>
      <c r="F718" t="s">
        <v>8</v>
      </c>
      <c r="G718">
        <v>9566.9909000000007</v>
      </c>
      <c r="H718">
        <v>133.30000000000001</v>
      </c>
      <c r="I718" t="s">
        <v>3</v>
      </c>
      <c r="J718" t="b">
        <v>0</v>
      </c>
      <c r="K718" t="s">
        <v>15</v>
      </c>
      <c r="L718">
        <v>49693.89</v>
      </c>
      <c r="M718" t="str" cm="1">
        <f t="array" ref="M718">_xlfn.IFS(A718&lt;30,"Young",A718&lt;=50,"Adult",A718&gt;50,"Senior")</f>
        <v>Adult</v>
      </c>
    </row>
    <row r="719" spans="1:13" x14ac:dyDescent="0.3">
      <c r="A719">
        <v>60</v>
      </c>
      <c r="B719" t="s">
        <v>12</v>
      </c>
      <c r="C719">
        <v>24.32</v>
      </c>
      <c r="D719">
        <v>1</v>
      </c>
      <c r="E719" t="s">
        <v>19</v>
      </c>
      <c r="F719" t="s">
        <v>8</v>
      </c>
      <c r="G719">
        <v>13112.604799999999</v>
      </c>
      <c r="H719">
        <v>137.9</v>
      </c>
      <c r="I719" t="s">
        <v>3</v>
      </c>
      <c r="J719" t="b">
        <v>1</v>
      </c>
      <c r="K719" t="s">
        <v>16</v>
      </c>
      <c r="L719">
        <v>63941.23</v>
      </c>
      <c r="M719" t="str" cm="1">
        <f t="array" ref="M719">_xlfn.IFS(A719&lt;30,"Young",A719&lt;=50,"Adult",A719&gt;50,"Senior")</f>
        <v>Senior</v>
      </c>
    </row>
    <row r="720" spans="1:13" x14ac:dyDescent="0.3">
      <c r="A720">
        <v>51</v>
      </c>
      <c r="B720" t="s">
        <v>11</v>
      </c>
      <c r="C720">
        <v>36.67</v>
      </c>
      <c r="D720">
        <v>2</v>
      </c>
      <c r="E720" t="s">
        <v>19</v>
      </c>
      <c r="F720" t="s">
        <v>8</v>
      </c>
      <c r="G720">
        <v>10848.1343</v>
      </c>
      <c r="H720">
        <v>116.4</v>
      </c>
      <c r="I720" t="s">
        <v>2</v>
      </c>
      <c r="J720" t="b">
        <v>0</v>
      </c>
      <c r="K720" t="s">
        <v>14</v>
      </c>
      <c r="L720">
        <v>151210.37</v>
      </c>
      <c r="M720" t="str" cm="1">
        <f t="array" ref="M720">_xlfn.IFS(A720&lt;30,"Young",A720&lt;=50,"Adult",A720&gt;50,"Senior")</f>
        <v>Senior</v>
      </c>
    </row>
    <row r="721" spans="1:13" x14ac:dyDescent="0.3">
      <c r="A721">
        <v>58</v>
      </c>
      <c r="B721" t="s">
        <v>11</v>
      </c>
      <c r="C721">
        <v>33.44</v>
      </c>
      <c r="D721">
        <v>0</v>
      </c>
      <c r="E721" t="s">
        <v>19</v>
      </c>
      <c r="F721" t="s">
        <v>8</v>
      </c>
      <c r="G721">
        <v>12231.613600000001</v>
      </c>
      <c r="H721">
        <v>117.2</v>
      </c>
      <c r="I721" t="s">
        <v>3</v>
      </c>
      <c r="J721" t="b">
        <v>1</v>
      </c>
      <c r="K721" t="s">
        <v>16</v>
      </c>
      <c r="L721">
        <v>152373.09</v>
      </c>
      <c r="M721" t="str" cm="1">
        <f t="array" ref="M721">_xlfn.IFS(A721&lt;30,"Young",A721&lt;=50,"Adult",A721&gt;50,"Senior")</f>
        <v>Senior</v>
      </c>
    </row>
    <row r="722" spans="1:13" x14ac:dyDescent="0.3">
      <c r="A722">
        <v>51</v>
      </c>
      <c r="B722" t="s">
        <v>11</v>
      </c>
      <c r="C722">
        <v>40.659999999999997</v>
      </c>
      <c r="D722">
        <v>0</v>
      </c>
      <c r="E722" t="s">
        <v>19</v>
      </c>
      <c r="F722" t="s">
        <v>9</v>
      </c>
      <c r="G722">
        <v>9875.6803999999993</v>
      </c>
      <c r="H722">
        <v>115.7</v>
      </c>
      <c r="I722" t="s">
        <v>3</v>
      </c>
      <c r="J722" t="b">
        <v>0</v>
      </c>
      <c r="K722" t="s">
        <v>14</v>
      </c>
      <c r="L722">
        <v>81110.05</v>
      </c>
      <c r="M722" t="str" cm="1">
        <f t="array" ref="M722">_xlfn.IFS(A722&lt;30,"Young",A722&lt;=50,"Adult",A722&gt;50,"Senior")</f>
        <v>Senior</v>
      </c>
    </row>
    <row r="723" spans="1:13" x14ac:dyDescent="0.3">
      <c r="A723">
        <v>53</v>
      </c>
      <c r="B723" t="s">
        <v>12</v>
      </c>
      <c r="C723">
        <v>36.6</v>
      </c>
      <c r="D723">
        <v>3</v>
      </c>
      <c r="E723" t="s">
        <v>19</v>
      </c>
      <c r="F723" t="s">
        <v>6</v>
      </c>
      <c r="G723">
        <v>11264.540999999999</v>
      </c>
      <c r="H723">
        <v>130.30000000000001</v>
      </c>
      <c r="I723" t="s">
        <v>2</v>
      </c>
      <c r="J723" t="b">
        <v>0</v>
      </c>
      <c r="K723" t="s">
        <v>14</v>
      </c>
      <c r="L723">
        <v>195941.31</v>
      </c>
      <c r="M723" t="str" cm="1">
        <f t="array" ref="M723">_xlfn.IFS(A723&lt;30,"Young",A723&lt;=50,"Adult",A723&gt;50,"Senior")</f>
        <v>Senior</v>
      </c>
    </row>
    <row r="724" spans="1:13" x14ac:dyDescent="0.3">
      <c r="A724">
        <v>62</v>
      </c>
      <c r="B724" t="s">
        <v>12</v>
      </c>
      <c r="C724">
        <v>37.4</v>
      </c>
      <c r="D724">
        <v>0</v>
      </c>
      <c r="E724" t="s">
        <v>19</v>
      </c>
      <c r="F724" t="s">
        <v>6</v>
      </c>
      <c r="G724">
        <v>12979.358</v>
      </c>
      <c r="H724">
        <v>111.5</v>
      </c>
      <c r="I724" t="s">
        <v>3</v>
      </c>
      <c r="J724" t="b">
        <v>1</v>
      </c>
      <c r="K724" t="s">
        <v>14</v>
      </c>
      <c r="L724">
        <v>92593.82</v>
      </c>
      <c r="M724" t="str" cm="1">
        <f t="array" ref="M724">_xlfn.IFS(A724&lt;30,"Young",A724&lt;=50,"Adult",A724&gt;50,"Senior")</f>
        <v>Senior</v>
      </c>
    </row>
    <row r="725" spans="1:13" x14ac:dyDescent="0.3">
      <c r="A725">
        <v>19</v>
      </c>
      <c r="B725" t="s">
        <v>12</v>
      </c>
      <c r="C725">
        <v>35.4</v>
      </c>
      <c r="D725">
        <v>0</v>
      </c>
      <c r="E725" t="s">
        <v>19</v>
      </c>
      <c r="F725" t="s">
        <v>6</v>
      </c>
      <c r="G725">
        <v>1263.249</v>
      </c>
      <c r="H725">
        <v>118.2</v>
      </c>
      <c r="I725" t="s">
        <v>1</v>
      </c>
      <c r="J725" t="b">
        <v>0</v>
      </c>
      <c r="K725" t="s">
        <v>15</v>
      </c>
      <c r="L725">
        <v>127969.52</v>
      </c>
      <c r="M725" t="str" cm="1">
        <f t="array" ref="M725">_xlfn.IFS(A725&lt;30,"Young",A725&lt;=50,"Adult",A725&gt;50,"Senior")</f>
        <v>Young</v>
      </c>
    </row>
    <row r="726" spans="1:13" x14ac:dyDescent="0.3">
      <c r="A726">
        <v>50</v>
      </c>
      <c r="B726" t="s">
        <v>11</v>
      </c>
      <c r="C726">
        <v>27.074999999999999</v>
      </c>
      <c r="D726">
        <v>1</v>
      </c>
      <c r="E726" t="s">
        <v>19</v>
      </c>
      <c r="F726" t="s">
        <v>9</v>
      </c>
      <c r="G726">
        <v>10106.134249999999</v>
      </c>
      <c r="H726">
        <v>129.30000000000001</v>
      </c>
      <c r="I726" t="s">
        <v>3</v>
      </c>
      <c r="J726" t="b">
        <v>0</v>
      </c>
      <c r="K726" t="s">
        <v>15</v>
      </c>
      <c r="L726">
        <v>176592.49</v>
      </c>
      <c r="M726" t="str" cm="1">
        <f t="array" ref="M726">_xlfn.IFS(A726&lt;30,"Young",A726&lt;=50,"Adult",A726&gt;50,"Senior")</f>
        <v>Adult</v>
      </c>
    </row>
    <row r="727" spans="1:13" x14ac:dyDescent="0.3">
      <c r="A727">
        <v>30</v>
      </c>
      <c r="B727" t="s">
        <v>11</v>
      </c>
      <c r="C727">
        <v>39.049999999999997</v>
      </c>
      <c r="D727">
        <v>3</v>
      </c>
      <c r="E727" t="s">
        <v>18</v>
      </c>
      <c r="F727" t="s">
        <v>7</v>
      </c>
      <c r="G727">
        <v>40932.429499999998</v>
      </c>
      <c r="H727">
        <v>137.9</v>
      </c>
      <c r="I727" t="s">
        <v>2</v>
      </c>
      <c r="J727" t="b">
        <v>1</v>
      </c>
      <c r="K727" t="s">
        <v>15</v>
      </c>
      <c r="L727">
        <v>94859.69</v>
      </c>
      <c r="M727" t="str" cm="1">
        <f t="array" ref="M727">_xlfn.IFS(A727&lt;30,"Young",A727&lt;=50,"Adult",A727&gt;50,"Senior")</f>
        <v>Adult</v>
      </c>
    </row>
    <row r="728" spans="1:13" x14ac:dyDescent="0.3">
      <c r="A728">
        <v>41</v>
      </c>
      <c r="B728" t="s">
        <v>12</v>
      </c>
      <c r="C728">
        <v>28.405000000000001</v>
      </c>
      <c r="D728">
        <v>1</v>
      </c>
      <c r="E728" t="s">
        <v>19</v>
      </c>
      <c r="F728" t="s">
        <v>8</v>
      </c>
      <c r="G728">
        <v>6664.68595</v>
      </c>
      <c r="H728">
        <v>117</v>
      </c>
      <c r="I728" t="s">
        <v>3</v>
      </c>
      <c r="J728" t="b">
        <v>1</v>
      </c>
      <c r="K728" t="s">
        <v>14</v>
      </c>
      <c r="L728">
        <v>103804.16</v>
      </c>
      <c r="M728" t="str" cm="1">
        <f t="array" ref="M728">_xlfn.IFS(A728&lt;30,"Young",A728&lt;=50,"Adult",A728&gt;50,"Senior")</f>
        <v>Adult</v>
      </c>
    </row>
    <row r="729" spans="1:13" x14ac:dyDescent="0.3">
      <c r="A729">
        <v>29</v>
      </c>
      <c r="B729" t="s">
        <v>11</v>
      </c>
      <c r="C729">
        <v>21.754999999999999</v>
      </c>
      <c r="D729">
        <v>1</v>
      </c>
      <c r="E729" t="s">
        <v>18</v>
      </c>
      <c r="F729" t="s">
        <v>9</v>
      </c>
      <c r="G729">
        <v>16657.71745</v>
      </c>
      <c r="H729">
        <v>119.8</v>
      </c>
      <c r="I729" t="s">
        <v>3</v>
      </c>
      <c r="J729" t="b">
        <v>0</v>
      </c>
      <c r="K729" t="s">
        <v>15</v>
      </c>
      <c r="L729">
        <v>120887.21</v>
      </c>
      <c r="M729" t="str" cm="1">
        <f t="array" ref="M729">_xlfn.IFS(A729&lt;30,"Young",A729&lt;=50,"Adult",A729&gt;50,"Senior")</f>
        <v>Young</v>
      </c>
    </row>
    <row r="730" spans="1:13" x14ac:dyDescent="0.3">
      <c r="A730">
        <v>18</v>
      </c>
      <c r="B730" t="s">
        <v>11</v>
      </c>
      <c r="C730">
        <v>40.28</v>
      </c>
      <c r="D730">
        <v>0</v>
      </c>
      <c r="E730" t="s">
        <v>19</v>
      </c>
      <c r="F730" t="s">
        <v>9</v>
      </c>
      <c r="G730">
        <v>2217.6012000000001</v>
      </c>
      <c r="H730">
        <v>119.3</v>
      </c>
      <c r="I730" t="s">
        <v>3</v>
      </c>
      <c r="J730" t="b">
        <v>1</v>
      </c>
      <c r="K730" t="s">
        <v>14</v>
      </c>
      <c r="L730">
        <v>50621.32</v>
      </c>
      <c r="M730" t="str" cm="1">
        <f t="array" ref="M730">_xlfn.IFS(A730&lt;30,"Young",A730&lt;=50,"Adult",A730&gt;50,"Senior")</f>
        <v>Young</v>
      </c>
    </row>
    <row r="731" spans="1:13" x14ac:dyDescent="0.3">
      <c r="A731">
        <v>41</v>
      </c>
      <c r="B731" t="s">
        <v>11</v>
      </c>
      <c r="C731">
        <v>36.08</v>
      </c>
      <c r="D731">
        <v>1</v>
      </c>
      <c r="E731" t="s">
        <v>19</v>
      </c>
      <c r="F731" t="s">
        <v>7</v>
      </c>
      <c r="G731">
        <v>6781.3541999999998</v>
      </c>
      <c r="H731">
        <v>127</v>
      </c>
      <c r="I731" t="s">
        <v>1</v>
      </c>
      <c r="J731" t="b">
        <v>1</v>
      </c>
      <c r="K731" t="s">
        <v>14</v>
      </c>
      <c r="L731">
        <v>55892.67</v>
      </c>
      <c r="M731" t="str" cm="1">
        <f t="array" ref="M731">_xlfn.IFS(A731&lt;30,"Young",A731&lt;=50,"Adult",A731&gt;50,"Senior")</f>
        <v>Adult</v>
      </c>
    </row>
    <row r="732" spans="1:13" x14ac:dyDescent="0.3">
      <c r="A732">
        <v>35</v>
      </c>
      <c r="B732" t="s">
        <v>12</v>
      </c>
      <c r="C732">
        <v>24.42</v>
      </c>
      <c r="D732">
        <v>3</v>
      </c>
      <c r="E732" t="s">
        <v>18</v>
      </c>
      <c r="F732" t="s">
        <v>7</v>
      </c>
      <c r="G732">
        <v>19361.998800000001</v>
      </c>
      <c r="H732">
        <v>118.6</v>
      </c>
      <c r="I732" t="s">
        <v>1</v>
      </c>
      <c r="J732" t="b">
        <v>1</v>
      </c>
      <c r="K732" t="s">
        <v>14</v>
      </c>
      <c r="L732">
        <v>35071.06</v>
      </c>
      <c r="M732" t="str" cm="1">
        <f t="array" ref="M732">_xlfn.IFS(A732&lt;30,"Young",A732&lt;=50,"Adult",A732&gt;50,"Senior")</f>
        <v>Adult</v>
      </c>
    </row>
    <row r="733" spans="1:13" x14ac:dyDescent="0.3">
      <c r="A733">
        <v>53</v>
      </c>
      <c r="B733" t="s">
        <v>12</v>
      </c>
      <c r="C733">
        <v>21.4</v>
      </c>
      <c r="D733">
        <v>1</v>
      </c>
      <c r="E733" t="s">
        <v>19</v>
      </c>
      <c r="F733" t="s">
        <v>6</v>
      </c>
      <c r="G733">
        <v>10065.413</v>
      </c>
      <c r="H733">
        <v>111.8</v>
      </c>
      <c r="I733" t="s">
        <v>1</v>
      </c>
      <c r="J733" t="b">
        <v>0</v>
      </c>
      <c r="K733" t="s">
        <v>16</v>
      </c>
      <c r="L733">
        <v>56929.48</v>
      </c>
      <c r="M733" t="str" cm="1">
        <f t="array" ref="M733">_xlfn.IFS(A733&lt;30,"Young",A733&lt;=50,"Adult",A733&gt;50,"Senior")</f>
        <v>Senior</v>
      </c>
    </row>
    <row r="734" spans="1:13" x14ac:dyDescent="0.3">
      <c r="A734">
        <v>24</v>
      </c>
      <c r="B734" t="s">
        <v>11</v>
      </c>
      <c r="C734">
        <v>30.1</v>
      </c>
      <c r="D734">
        <v>3</v>
      </c>
      <c r="E734" t="s">
        <v>19</v>
      </c>
      <c r="F734" t="s">
        <v>6</v>
      </c>
      <c r="G734">
        <v>4234.9269999999997</v>
      </c>
      <c r="H734">
        <v>126.8</v>
      </c>
      <c r="I734" t="s">
        <v>2</v>
      </c>
      <c r="J734" t="b">
        <v>0</v>
      </c>
      <c r="K734" t="s">
        <v>14</v>
      </c>
      <c r="L734">
        <v>127318.34</v>
      </c>
      <c r="M734" t="str" cm="1">
        <f t="array" ref="M734">_xlfn.IFS(A734&lt;30,"Young",A734&lt;=50,"Adult",A734&gt;50,"Senior")</f>
        <v>Young</v>
      </c>
    </row>
    <row r="735" spans="1:13" x14ac:dyDescent="0.3">
      <c r="A735">
        <v>48</v>
      </c>
      <c r="B735" t="s">
        <v>11</v>
      </c>
      <c r="C735">
        <v>27.265000000000001</v>
      </c>
      <c r="D735">
        <v>1</v>
      </c>
      <c r="E735" t="s">
        <v>19</v>
      </c>
      <c r="F735" t="s">
        <v>9</v>
      </c>
      <c r="G735">
        <v>9447.2503500000003</v>
      </c>
      <c r="H735">
        <v>134.1</v>
      </c>
      <c r="I735" t="s">
        <v>1</v>
      </c>
      <c r="J735" t="b">
        <v>1</v>
      </c>
      <c r="K735" t="s">
        <v>15</v>
      </c>
      <c r="L735">
        <v>155574.70000000001</v>
      </c>
      <c r="M735" t="str" cm="1">
        <f t="array" ref="M735">_xlfn.IFS(A735&lt;30,"Young",A735&lt;=50,"Adult",A735&gt;50,"Senior")</f>
        <v>Adult</v>
      </c>
    </row>
    <row r="736" spans="1:13" x14ac:dyDescent="0.3">
      <c r="A736">
        <v>59</v>
      </c>
      <c r="B736" t="s">
        <v>11</v>
      </c>
      <c r="C736">
        <v>32.1</v>
      </c>
      <c r="D736">
        <v>3</v>
      </c>
      <c r="E736" t="s">
        <v>19</v>
      </c>
      <c r="F736" t="s">
        <v>6</v>
      </c>
      <c r="G736">
        <v>14007.222</v>
      </c>
      <c r="H736">
        <v>126.4</v>
      </c>
      <c r="I736" t="s">
        <v>2</v>
      </c>
      <c r="J736" t="b">
        <v>1</v>
      </c>
      <c r="K736" t="s">
        <v>14</v>
      </c>
      <c r="L736">
        <v>89218.02</v>
      </c>
      <c r="M736" t="str" cm="1">
        <f t="array" ref="M736">_xlfn.IFS(A736&lt;30,"Young",A736&lt;=50,"Adult",A736&gt;50,"Senior")</f>
        <v>Senior</v>
      </c>
    </row>
    <row r="737" spans="1:13" x14ac:dyDescent="0.3">
      <c r="A737">
        <v>49</v>
      </c>
      <c r="B737" t="s">
        <v>11</v>
      </c>
      <c r="C737">
        <v>34.770000000000003</v>
      </c>
      <c r="D737">
        <v>1</v>
      </c>
      <c r="E737" t="s">
        <v>19</v>
      </c>
      <c r="F737" t="s">
        <v>8</v>
      </c>
      <c r="G737">
        <v>9583.8932999999997</v>
      </c>
      <c r="H737">
        <v>113.9</v>
      </c>
      <c r="I737" t="s">
        <v>2</v>
      </c>
      <c r="J737" t="b">
        <v>0</v>
      </c>
      <c r="K737" t="s">
        <v>16</v>
      </c>
      <c r="L737">
        <v>131485.70000000001</v>
      </c>
      <c r="M737" t="str" cm="1">
        <f t="array" ref="M737">_xlfn.IFS(A737&lt;30,"Young",A737&lt;=50,"Adult",A737&gt;50,"Senior")</f>
        <v>Adult</v>
      </c>
    </row>
    <row r="738" spans="1:13" x14ac:dyDescent="0.3">
      <c r="A738">
        <v>37</v>
      </c>
      <c r="B738" t="s">
        <v>11</v>
      </c>
      <c r="C738">
        <v>38.39</v>
      </c>
      <c r="D738">
        <v>0</v>
      </c>
      <c r="E738" t="s">
        <v>18</v>
      </c>
      <c r="F738" t="s">
        <v>7</v>
      </c>
      <c r="G738">
        <v>40419.019099999998</v>
      </c>
      <c r="H738">
        <v>111.5</v>
      </c>
      <c r="I738" t="s">
        <v>0</v>
      </c>
      <c r="J738" t="b">
        <v>0</v>
      </c>
      <c r="K738" t="s">
        <v>15</v>
      </c>
      <c r="L738">
        <v>147945.78</v>
      </c>
      <c r="M738" t="str" cm="1">
        <f t="array" ref="M738">_xlfn.IFS(A738&lt;30,"Young",A738&lt;=50,"Adult",A738&gt;50,"Senior")</f>
        <v>Adult</v>
      </c>
    </row>
    <row r="739" spans="1:13" x14ac:dyDescent="0.3">
      <c r="A739">
        <v>26</v>
      </c>
      <c r="B739" t="s">
        <v>12</v>
      </c>
      <c r="C739">
        <v>23.7</v>
      </c>
      <c r="D739">
        <v>2</v>
      </c>
      <c r="E739" t="s">
        <v>19</v>
      </c>
      <c r="F739" t="s">
        <v>6</v>
      </c>
      <c r="G739">
        <v>3484.3310000000001</v>
      </c>
      <c r="H739">
        <v>116.3</v>
      </c>
      <c r="I739" t="s">
        <v>3</v>
      </c>
      <c r="J739" t="b">
        <v>0</v>
      </c>
      <c r="K739" t="s">
        <v>16</v>
      </c>
      <c r="L739">
        <v>60002.2</v>
      </c>
      <c r="M739" t="str" cm="1">
        <f t="array" ref="M739">_xlfn.IFS(A739&lt;30,"Young",A739&lt;=50,"Adult",A739&gt;50,"Senior")</f>
        <v>Young</v>
      </c>
    </row>
    <row r="740" spans="1:13" x14ac:dyDescent="0.3">
      <c r="A740">
        <v>23</v>
      </c>
      <c r="B740" t="s">
        <v>12</v>
      </c>
      <c r="C740">
        <v>31.73</v>
      </c>
      <c r="D740">
        <v>3</v>
      </c>
      <c r="E740" t="s">
        <v>18</v>
      </c>
      <c r="F740" t="s">
        <v>9</v>
      </c>
      <c r="G740">
        <v>36189.101699999999</v>
      </c>
      <c r="H740">
        <v>112.9</v>
      </c>
      <c r="I740" t="s">
        <v>3</v>
      </c>
      <c r="J740" t="b">
        <v>1</v>
      </c>
      <c r="K740" t="s">
        <v>15</v>
      </c>
      <c r="L740">
        <v>42329.45</v>
      </c>
      <c r="M740" t="str" cm="1">
        <f t="array" ref="M740">_xlfn.IFS(A740&lt;30,"Young",A740&lt;=50,"Adult",A740&gt;50,"Senior")</f>
        <v>Young</v>
      </c>
    </row>
    <row r="741" spans="1:13" x14ac:dyDescent="0.3">
      <c r="A741">
        <v>29</v>
      </c>
      <c r="B741" t="s">
        <v>12</v>
      </c>
      <c r="C741">
        <v>35.5</v>
      </c>
      <c r="D741">
        <v>2</v>
      </c>
      <c r="E741" t="s">
        <v>18</v>
      </c>
      <c r="F741" t="s">
        <v>6</v>
      </c>
      <c r="G741">
        <v>44585.455869999998</v>
      </c>
      <c r="H741">
        <v>116.5</v>
      </c>
      <c r="I741" t="s">
        <v>2</v>
      </c>
      <c r="J741" t="b">
        <v>1</v>
      </c>
      <c r="K741" t="s">
        <v>15</v>
      </c>
      <c r="L741">
        <v>178225.77</v>
      </c>
      <c r="M741" t="str" cm="1">
        <f t="array" ref="M741">_xlfn.IFS(A741&lt;30,"Young",A741&lt;=50,"Adult",A741&gt;50,"Senior")</f>
        <v>Young</v>
      </c>
    </row>
    <row r="742" spans="1:13" x14ac:dyDescent="0.3">
      <c r="A742">
        <v>45</v>
      </c>
      <c r="B742" t="s">
        <v>12</v>
      </c>
      <c r="C742">
        <v>24.035</v>
      </c>
      <c r="D742">
        <v>2</v>
      </c>
      <c r="E742" t="s">
        <v>19</v>
      </c>
      <c r="F742" t="s">
        <v>9</v>
      </c>
      <c r="G742">
        <v>8604.4836500000001</v>
      </c>
      <c r="H742">
        <v>138.5</v>
      </c>
      <c r="I742" t="s">
        <v>3</v>
      </c>
      <c r="J742" t="b">
        <v>0</v>
      </c>
      <c r="K742" t="s">
        <v>15</v>
      </c>
      <c r="L742">
        <v>176247.19</v>
      </c>
      <c r="M742" t="str" cm="1">
        <f t="array" ref="M742">_xlfn.IFS(A742&lt;30,"Young",A742&lt;=50,"Adult",A742&gt;50,"Senior")</f>
        <v>Adult</v>
      </c>
    </row>
    <row r="743" spans="1:13" x14ac:dyDescent="0.3">
      <c r="A743">
        <v>27</v>
      </c>
      <c r="B743" t="s">
        <v>12</v>
      </c>
      <c r="C743">
        <v>29.15</v>
      </c>
      <c r="D743">
        <v>0</v>
      </c>
      <c r="E743" t="s">
        <v>18</v>
      </c>
      <c r="F743" t="s">
        <v>7</v>
      </c>
      <c r="G743">
        <v>18246.495500000001</v>
      </c>
      <c r="H743">
        <v>138.69999999999999</v>
      </c>
      <c r="I743" t="s">
        <v>3</v>
      </c>
      <c r="J743" t="b">
        <v>0</v>
      </c>
      <c r="K743" t="s">
        <v>15</v>
      </c>
      <c r="L743">
        <v>67720.479999999996</v>
      </c>
      <c r="M743" t="str" cm="1">
        <f t="array" ref="M743">_xlfn.IFS(A743&lt;30,"Young",A743&lt;=50,"Adult",A743&gt;50,"Senior")</f>
        <v>Young</v>
      </c>
    </row>
    <row r="744" spans="1:13" x14ac:dyDescent="0.3">
      <c r="A744">
        <v>53</v>
      </c>
      <c r="B744" t="s">
        <v>12</v>
      </c>
      <c r="C744">
        <v>34.104999999999997</v>
      </c>
      <c r="D744">
        <v>0</v>
      </c>
      <c r="E744" t="s">
        <v>18</v>
      </c>
      <c r="F744" t="s">
        <v>9</v>
      </c>
      <c r="G744">
        <v>43254.417950000003</v>
      </c>
      <c r="H744">
        <v>113.1</v>
      </c>
      <c r="I744" t="s">
        <v>1</v>
      </c>
      <c r="J744" t="b">
        <v>1</v>
      </c>
      <c r="K744" t="s">
        <v>16</v>
      </c>
      <c r="L744">
        <v>138035.54</v>
      </c>
      <c r="M744" t="str" cm="1">
        <f t="array" ref="M744">_xlfn.IFS(A744&lt;30,"Young",A744&lt;=50,"Adult",A744&gt;50,"Senior")</f>
        <v>Senior</v>
      </c>
    </row>
    <row r="745" spans="1:13" x14ac:dyDescent="0.3">
      <c r="A745">
        <v>31</v>
      </c>
      <c r="B745" t="s">
        <v>11</v>
      </c>
      <c r="C745">
        <v>26.62</v>
      </c>
      <c r="D745">
        <v>0</v>
      </c>
      <c r="E745" t="s">
        <v>19</v>
      </c>
      <c r="F745" t="s">
        <v>7</v>
      </c>
      <c r="G745">
        <v>3757.8447999999999</v>
      </c>
      <c r="H745">
        <v>129.5</v>
      </c>
      <c r="I745" t="s">
        <v>0</v>
      </c>
      <c r="J745" t="b">
        <v>1</v>
      </c>
      <c r="K745" t="s">
        <v>16</v>
      </c>
      <c r="L745">
        <v>185976.25</v>
      </c>
      <c r="M745" t="str" cm="1">
        <f t="array" ref="M745">_xlfn.IFS(A745&lt;30,"Young",A745&lt;=50,"Adult",A745&gt;50,"Senior")</f>
        <v>Adult</v>
      </c>
    </row>
    <row r="746" spans="1:13" x14ac:dyDescent="0.3">
      <c r="A746">
        <v>50</v>
      </c>
      <c r="B746" t="s">
        <v>12</v>
      </c>
      <c r="C746">
        <v>26.41</v>
      </c>
      <c r="D746">
        <v>0</v>
      </c>
      <c r="E746" t="s">
        <v>19</v>
      </c>
      <c r="F746" t="s">
        <v>8</v>
      </c>
      <c r="G746">
        <v>8827.2098999999998</v>
      </c>
      <c r="H746">
        <v>111.3</v>
      </c>
      <c r="I746" t="s">
        <v>1</v>
      </c>
      <c r="J746" t="b">
        <v>1</v>
      </c>
      <c r="K746" t="s">
        <v>15</v>
      </c>
      <c r="L746">
        <v>134256.70000000001</v>
      </c>
      <c r="M746" t="str" cm="1">
        <f t="array" ref="M746">_xlfn.IFS(A746&lt;30,"Young",A746&lt;=50,"Adult",A746&gt;50,"Senior")</f>
        <v>Adult</v>
      </c>
    </row>
    <row r="747" spans="1:13" x14ac:dyDescent="0.3">
      <c r="A747">
        <v>50</v>
      </c>
      <c r="B747" t="s">
        <v>11</v>
      </c>
      <c r="C747">
        <v>30.114999999999998</v>
      </c>
      <c r="D747">
        <v>1</v>
      </c>
      <c r="E747" t="s">
        <v>19</v>
      </c>
      <c r="F747" t="s">
        <v>8</v>
      </c>
      <c r="G747">
        <v>9910.3598500000007</v>
      </c>
      <c r="H747">
        <v>121</v>
      </c>
      <c r="I747" t="s">
        <v>2</v>
      </c>
      <c r="J747" t="b">
        <v>1</v>
      </c>
      <c r="K747" t="s">
        <v>14</v>
      </c>
      <c r="L747">
        <v>39786.230000000003</v>
      </c>
      <c r="M747" t="str" cm="1">
        <f t="array" ref="M747">_xlfn.IFS(A747&lt;30,"Young",A747&lt;=50,"Adult",A747&gt;50,"Senior")</f>
        <v>Adult</v>
      </c>
    </row>
    <row r="748" spans="1:13" x14ac:dyDescent="0.3">
      <c r="A748">
        <v>34</v>
      </c>
      <c r="B748" t="s">
        <v>12</v>
      </c>
      <c r="C748">
        <v>27</v>
      </c>
      <c r="D748">
        <v>2</v>
      </c>
      <c r="E748" t="s">
        <v>19</v>
      </c>
      <c r="F748" t="s">
        <v>6</v>
      </c>
      <c r="G748">
        <v>11737.848840000001</v>
      </c>
      <c r="H748">
        <v>130.80000000000001</v>
      </c>
      <c r="I748" t="s">
        <v>1</v>
      </c>
      <c r="J748" t="b">
        <v>0</v>
      </c>
      <c r="K748" t="s">
        <v>16</v>
      </c>
      <c r="L748">
        <v>130732.11</v>
      </c>
      <c r="M748" t="str" cm="1">
        <f t="array" ref="M748">_xlfn.IFS(A748&lt;30,"Young",A748&lt;=50,"Adult",A748&gt;50,"Senior")</f>
        <v>Adult</v>
      </c>
    </row>
    <row r="749" spans="1:13" x14ac:dyDescent="0.3">
      <c r="A749">
        <v>19</v>
      </c>
      <c r="B749" t="s">
        <v>12</v>
      </c>
      <c r="C749">
        <v>21.754999999999999</v>
      </c>
      <c r="D749">
        <v>0</v>
      </c>
      <c r="E749" t="s">
        <v>19</v>
      </c>
      <c r="F749" t="s">
        <v>8</v>
      </c>
      <c r="G749">
        <v>1627.2824499999999</v>
      </c>
      <c r="H749">
        <v>114.5</v>
      </c>
      <c r="I749" t="s">
        <v>3</v>
      </c>
      <c r="J749" t="b">
        <v>1</v>
      </c>
      <c r="K749" t="s">
        <v>14</v>
      </c>
      <c r="L749">
        <v>133986.23000000001</v>
      </c>
      <c r="M749" t="str" cm="1">
        <f t="array" ref="M749">_xlfn.IFS(A749&lt;30,"Young",A749&lt;=50,"Adult",A749&gt;50,"Senior")</f>
        <v>Young</v>
      </c>
    </row>
    <row r="750" spans="1:13" x14ac:dyDescent="0.3">
      <c r="A750">
        <v>47</v>
      </c>
      <c r="B750" t="s">
        <v>11</v>
      </c>
      <c r="C750">
        <v>36</v>
      </c>
      <c r="D750">
        <v>1</v>
      </c>
      <c r="E750" t="s">
        <v>19</v>
      </c>
      <c r="F750" t="s">
        <v>6</v>
      </c>
      <c r="G750">
        <v>8556.9069999999992</v>
      </c>
      <c r="H750">
        <v>129.69999999999999</v>
      </c>
      <c r="I750" t="s">
        <v>2</v>
      </c>
      <c r="J750" t="b">
        <v>0</v>
      </c>
      <c r="K750" t="s">
        <v>16</v>
      </c>
      <c r="L750">
        <v>106722.36</v>
      </c>
      <c r="M750" t="str" cm="1">
        <f t="array" ref="M750">_xlfn.IFS(A750&lt;30,"Young",A750&lt;=50,"Adult",A750&gt;50,"Senior")</f>
        <v>Adult</v>
      </c>
    </row>
    <row r="751" spans="1:13" x14ac:dyDescent="0.3">
      <c r="A751">
        <v>28</v>
      </c>
      <c r="B751" t="s">
        <v>12</v>
      </c>
      <c r="C751">
        <v>30.875</v>
      </c>
      <c r="D751">
        <v>0</v>
      </c>
      <c r="E751" t="s">
        <v>19</v>
      </c>
      <c r="F751" t="s">
        <v>8</v>
      </c>
      <c r="G751">
        <v>3062.5082499999999</v>
      </c>
      <c r="H751">
        <v>113.8</v>
      </c>
      <c r="I751" t="s">
        <v>3</v>
      </c>
      <c r="J751" t="b">
        <v>1</v>
      </c>
      <c r="K751" t="s">
        <v>14</v>
      </c>
      <c r="L751">
        <v>86023.78</v>
      </c>
      <c r="M751" t="str" cm="1">
        <f t="array" ref="M751">_xlfn.IFS(A751&lt;30,"Young",A751&lt;=50,"Adult",A751&gt;50,"Senior")</f>
        <v>Young</v>
      </c>
    </row>
    <row r="752" spans="1:13" x14ac:dyDescent="0.3">
      <c r="A752">
        <v>37</v>
      </c>
      <c r="B752" t="s">
        <v>11</v>
      </c>
      <c r="C752">
        <v>26.4</v>
      </c>
      <c r="D752">
        <v>0</v>
      </c>
      <c r="E752" t="s">
        <v>18</v>
      </c>
      <c r="F752" t="s">
        <v>7</v>
      </c>
      <c r="G752">
        <v>19539.242999999999</v>
      </c>
      <c r="H752">
        <v>120.2</v>
      </c>
      <c r="I752" t="s">
        <v>2</v>
      </c>
      <c r="J752" t="b">
        <v>0</v>
      </c>
      <c r="K752" t="s">
        <v>16</v>
      </c>
      <c r="L752">
        <v>125920.2</v>
      </c>
      <c r="M752" t="str" cm="1">
        <f t="array" ref="M752">_xlfn.IFS(A752&lt;30,"Young",A752&lt;=50,"Adult",A752&gt;50,"Senior")</f>
        <v>Adult</v>
      </c>
    </row>
    <row r="753" spans="1:13" x14ac:dyDescent="0.3">
      <c r="A753">
        <v>21</v>
      </c>
      <c r="B753" t="s">
        <v>12</v>
      </c>
      <c r="C753">
        <v>28.975000000000001</v>
      </c>
      <c r="D753">
        <v>0</v>
      </c>
      <c r="E753" t="s">
        <v>19</v>
      </c>
      <c r="F753" t="s">
        <v>8</v>
      </c>
      <c r="G753">
        <v>1906.35825</v>
      </c>
      <c r="H753">
        <v>133.69999999999999</v>
      </c>
      <c r="I753" t="s">
        <v>3</v>
      </c>
      <c r="J753" t="b">
        <v>1</v>
      </c>
      <c r="K753" t="s">
        <v>15</v>
      </c>
      <c r="L753">
        <v>88157.74</v>
      </c>
      <c r="M753" t="str" cm="1">
        <f t="array" ref="M753">_xlfn.IFS(A753&lt;30,"Young",A753&lt;=50,"Adult",A753&gt;50,"Senior")</f>
        <v>Young</v>
      </c>
    </row>
    <row r="754" spans="1:13" x14ac:dyDescent="0.3">
      <c r="A754">
        <v>64</v>
      </c>
      <c r="B754" t="s">
        <v>12</v>
      </c>
      <c r="C754">
        <v>37.905000000000001</v>
      </c>
      <c r="D754">
        <v>0</v>
      </c>
      <c r="E754" t="s">
        <v>19</v>
      </c>
      <c r="F754" t="s">
        <v>8</v>
      </c>
      <c r="G754">
        <v>14210.53595</v>
      </c>
      <c r="H754">
        <v>110.3</v>
      </c>
      <c r="I754" t="s">
        <v>2</v>
      </c>
      <c r="J754" t="b">
        <v>0</v>
      </c>
      <c r="K754" t="s">
        <v>14</v>
      </c>
      <c r="L754">
        <v>187106.29</v>
      </c>
      <c r="M754" t="str" cm="1">
        <f t="array" ref="M754">_xlfn.IFS(A754&lt;30,"Young",A754&lt;=50,"Adult",A754&gt;50,"Senior")</f>
        <v>Senior</v>
      </c>
    </row>
    <row r="755" spans="1:13" x14ac:dyDescent="0.3">
      <c r="A755">
        <v>58</v>
      </c>
      <c r="B755" t="s">
        <v>11</v>
      </c>
      <c r="C755">
        <v>22.77</v>
      </c>
      <c r="D755">
        <v>0</v>
      </c>
      <c r="E755" t="s">
        <v>19</v>
      </c>
      <c r="F755" t="s">
        <v>7</v>
      </c>
      <c r="G755">
        <v>11833.782300000001</v>
      </c>
      <c r="H755">
        <v>122.4</v>
      </c>
      <c r="I755" t="s">
        <v>0</v>
      </c>
      <c r="J755" t="b">
        <v>0</v>
      </c>
      <c r="K755" t="s">
        <v>15</v>
      </c>
      <c r="L755">
        <v>193773.68</v>
      </c>
      <c r="M755" t="str" cm="1">
        <f t="array" ref="M755">_xlfn.IFS(A755&lt;30,"Young",A755&lt;=50,"Adult",A755&gt;50,"Senior")</f>
        <v>Senior</v>
      </c>
    </row>
    <row r="756" spans="1:13" x14ac:dyDescent="0.3">
      <c r="A756">
        <v>24</v>
      </c>
      <c r="B756" t="s">
        <v>12</v>
      </c>
      <c r="C756">
        <v>33.630000000000003</v>
      </c>
      <c r="D756">
        <v>4</v>
      </c>
      <c r="E756" t="s">
        <v>19</v>
      </c>
      <c r="F756" t="s">
        <v>9</v>
      </c>
      <c r="G756">
        <v>17128.426080000001</v>
      </c>
      <c r="H756">
        <v>125.4</v>
      </c>
      <c r="I756" t="s">
        <v>0</v>
      </c>
      <c r="J756" t="b">
        <v>0</v>
      </c>
      <c r="K756" t="s">
        <v>14</v>
      </c>
      <c r="L756">
        <v>77776.36</v>
      </c>
      <c r="M756" t="str" cm="1">
        <f t="array" ref="M756">_xlfn.IFS(A756&lt;30,"Young",A756&lt;=50,"Adult",A756&gt;50,"Senior")</f>
        <v>Young</v>
      </c>
    </row>
    <row r="757" spans="1:13" x14ac:dyDescent="0.3">
      <c r="A757">
        <v>31</v>
      </c>
      <c r="B757" t="s">
        <v>12</v>
      </c>
      <c r="C757">
        <v>27.645</v>
      </c>
      <c r="D757">
        <v>2</v>
      </c>
      <c r="E757" t="s">
        <v>19</v>
      </c>
      <c r="F757" t="s">
        <v>9</v>
      </c>
      <c r="G757">
        <v>5031.26955</v>
      </c>
      <c r="H757">
        <v>117.2</v>
      </c>
      <c r="I757" t="s">
        <v>3</v>
      </c>
      <c r="J757" t="b">
        <v>0</v>
      </c>
      <c r="K757" t="s">
        <v>15</v>
      </c>
      <c r="L757">
        <v>156207.07</v>
      </c>
      <c r="M757" t="str" cm="1">
        <f t="array" ref="M757">_xlfn.IFS(A757&lt;30,"Young",A757&lt;=50,"Adult",A757&gt;50,"Senior")</f>
        <v>Adult</v>
      </c>
    </row>
    <row r="758" spans="1:13" x14ac:dyDescent="0.3">
      <c r="A758">
        <v>39</v>
      </c>
      <c r="B758" t="s">
        <v>11</v>
      </c>
      <c r="C758">
        <v>22.8</v>
      </c>
      <c r="D758">
        <v>3</v>
      </c>
      <c r="E758" t="s">
        <v>19</v>
      </c>
      <c r="F758" t="s">
        <v>9</v>
      </c>
      <c r="G758">
        <v>7985.8149999999996</v>
      </c>
      <c r="H758">
        <v>115.7</v>
      </c>
      <c r="I758" t="s">
        <v>0</v>
      </c>
      <c r="J758" t="b">
        <v>0</v>
      </c>
      <c r="K758" t="s">
        <v>15</v>
      </c>
      <c r="L758">
        <v>171085.21</v>
      </c>
      <c r="M758" t="str" cm="1">
        <f t="array" ref="M758">_xlfn.IFS(A758&lt;30,"Young",A758&lt;=50,"Adult",A758&gt;50,"Senior")</f>
        <v>Adult</v>
      </c>
    </row>
    <row r="759" spans="1:13" x14ac:dyDescent="0.3">
      <c r="A759">
        <v>47</v>
      </c>
      <c r="B759" t="s">
        <v>11</v>
      </c>
      <c r="C759">
        <v>27.83</v>
      </c>
      <c r="D759">
        <v>0</v>
      </c>
      <c r="E759" t="s">
        <v>18</v>
      </c>
      <c r="F759" t="s">
        <v>7</v>
      </c>
      <c r="G759">
        <v>23065.420699999999</v>
      </c>
      <c r="H759">
        <v>115.5</v>
      </c>
      <c r="I759" t="s">
        <v>1</v>
      </c>
      <c r="J759" t="b">
        <v>1</v>
      </c>
      <c r="K759" t="s">
        <v>16</v>
      </c>
      <c r="L759">
        <v>30705.51</v>
      </c>
      <c r="M759" t="str" cm="1">
        <f t="array" ref="M759">_xlfn.IFS(A759&lt;30,"Young",A759&lt;=50,"Adult",A759&gt;50,"Senior")</f>
        <v>Adult</v>
      </c>
    </row>
    <row r="760" spans="1:13" x14ac:dyDescent="0.3">
      <c r="A760">
        <v>30</v>
      </c>
      <c r="B760" t="s">
        <v>12</v>
      </c>
      <c r="C760">
        <v>37.43</v>
      </c>
      <c r="D760">
        <v>3</v>
      </c>
      <c r="E760" t="s">
        <v>19</v>
      </c>
      <c r="F760" t="s">
        <v>9</v>
      </c>
      <c r="G760">
        <v>5428.7277000000004</v>
      </c>
      <c r="H760">
        <v>120.7</v>
      </c>
      <c r="I760" t="s">
        <v>0</v>
      </c>
      <c r="J760" t="b">
        <v>0</v>
      </c>
      <c r="K760" t="s">
        <v>14</v>
      </c>
      <c r="L760">
        <v>40540.82</v>
      </c>
      <c r="M760" t="str" cm="1">
        <f t="array" ref="M760">_xlfn.IFS(A760&lt;30,"Young",A760&lt;=50,"Adult",A760&gt;50,"Senior")</f>
        <v>Adult</v>
      </c>
    </row>
    <row r="761" spans="1:13" x14ac:dyDescent="0.3">
      <c r="A761">
        <v>18</v>
      </c>
      <c r="B761" t="s">
        <v>12</v>
      </c>
      <c r="C761">
        <v>38.17</v>
      </c>
      <c r="D761">
        <v>0</v>
      </c>
      <c r="E761" t="s">
        <v>18</v>
      </c>
      <c r="F761" t="s">
        <v>7</v>
      </c>
      <c r="G761">
        <v>36307.798300000002</v>
      </c>
      <c r="H761">
        <v>114.7</v>
      </c>
      <c r="I761" t="s">
        <v>3</v>
      </c>
      <c r="J761" t="b">
        <v>1</v>
      </c>
      <c r="K761" t="s">
        <v>16</v>
      </c>
      <c r="L761">
        <v>134747.82999999999</v>
      </c>
      <c r="M761" t="str" cm="1">
        <f t="array" ref="M761">_xlfn.IFS(A761&lt;30,"Young",A761&lt;=50,"Adult",A761&gt;50,"Senior")</f>
        <v>Young</v>
      </c>
    </row>
    <row r="762" spans="1:13" x14ac:dyDescent="0.3">
      <c r="A762">
        <v>22</v>
      </c>
      <c r="B762" t="s">
        <v>11</v>
      </c>
      <c r="C762">
        <v>34.58</v>
      </c>
      <c r="D762">
        <v>2</v>
      </c>
      <c r="E762" t="s">
        <v>19</v>
      </c>
      <c r="F762" t="s">
        <v>9</v>
      </c>
      <c r="G762">
        <v>3925.7582000000002</v>
      </c>
      <c r="H762">
        <v>139.6</v>
      </c>
      <c r="I762" t="s">
        <v>2</v>
      </c>
      <c r="J762" t="b">
        <v>1</v>
      </c>
      <c r="K762" t="s">
        <v>15</v>
      </c>
      <c r="L762">
        <v>67981.33</v>
      </c>
      <c r="M762" t="str" cm="1">
        <f t="array" ref="M762">_xlfn.IFS(A762&lt;30,"Young",A762&lt;=50,"Adult",A762&gt;50,"Senior")</f>
        <v>Young</v>
      </c>
    </row>
    <row r="763" spans="1:13" x14ac:dyDescent="0.3">
      <c r="A763">
        <v>23</v>
      </c>
      <c r="B763" t="s">
        <v>12</v>
      </c>
      <c r="C763">
        <v>35.200000000000003</v>
      </c>
      <c r="D763">
        <v>1</v>
      </c>
      <c r="E763" t="s">
        <v>19</v>
      </c>
      <c r="F763" t="s">
        <v>6</v>
      </c>
      <c r="G763">
        <v>2416.9549999999999</v>
      </c>
      <c r="H763">
        <v>121.1</v>
      </c>
      <c r="I763" t="s">
        <v>2</v>
      </c>
      <c r="J763" t="b">
        <v>1</v>
      </c>
      <c r="K763" t="s">
        <v>14</v>
      </c>
      <c r="L763">
        <v>96261.74</v>
      </c>
      <c r="M763" t="str" cm="1">
        <f t="array" ref="M763">_xlfn.IFS(A763&lt;30,"Young",A763&lt;=50,"Adult",A763&gt;50,"Senior")</f>
        <v>Young</v>
      </c>
    </row>
    <row r="764" spans="1:13" x14ac:dyDescent="0.3">
      <c r="A764">
        <v>33</v>
      </c>
      <c r="B764" t="s">
        <v>12</v>
      </c>
      <c r="C764">
        <v>27.1</v>
      </c>
      <c r="D764">
        <v>1</v>
      </c>
      <c r="E764" t="s">
        <v>18</v>
      </c>
      <c r="F764" t="s">
        <v>6</v>
      </c>
      <c r="G764">
        <v>19040.876</v>
      </c>
      <c r="H764">
        <v>110.2</v>
      </c>
      <c r="I764" t="s">
        <v>1</v>
      </c>
      <c r="J764" t="b">
        <v>1</v>
      </c>
      <c r="K764" t="s">
        <v>14</v>
      </c>
      <c r="L764">
        <v>45868.01</v>
      </c>
      <c r="M764" t="str" cm="1">
        <f t="array" ref="M764">_xlfn.IFS(A764&lt;30,"Young",A764&lt;=50,"Adult",A764&gt;50,"Senior")</f>
        <v>Adult</v>
      </c>
    </row>
    <row r="765" spans="1:13" x14ac:dyDescent="0.3">
      <c r="A765">
        <v>27</v>
      </c>
      <c r="B765" t="s">
        <v>12</v>
      </c>
      <c r="C765">
        <v>26.03</v>
      </c>
      <c r="D765">
        <v>0</v>
      </c>
      <c r="E765" t="s">
        <v>19</v>
      </c>
      <c r="F765" t="s">
        <v>9</v>
      </c>
      <c r="G765">
        <v>3070.8087</v>
      </c>
      <c r="H765">
        <v>125.5</v>
      </c>
      <c r="I765" t="s">
        <v>2</v>
      </c>
      <c r="J765" t="b">
        <v>1</v>
      </c>
      <c r="K765" t="s">
        <v>14</v>
      </c>
      <c r="L765">
        <v>130563.18</v>
      </c>
      <c r="M765" t="str" cm="1">
        <f t="array" ref="M765">_xlfn.IFS(A765&lt;30,"Young",A765&lt;=50,"Adult",A765&gt;50,"Senior")</f>
        <v>Young</v>
      </c>
    </row>
    <row r="766" spans="1:13" x14ac:dyDescent="0.3">
      <c r="A766">
        <v>45</v>
      </c>
      <c r="B766" t="s">
        <v>11</v>
      </c>
      <c r="C766">
        <v>25.175000000000001</v>
      </c>
      <c r="D766">
        <v>2</v>
      </c>
      <c r="E766" t="s">
        <v>19</v>
      </c>
      <c r="F766" t="s">
        <v>9</v>
      </c>
      <c r="G766">
        <v>9095.0682500000003</v>
      </c>
      <c r="H766">
        <v>136.1</v>
      </c>
      <c r="I766" t="s">
        <v>1</v>
      </c>
      <c r="J766" t="b">
        <v>1</v>
      </c>
      <c r="K766" t="s">
        <v>15</v>
      </c>
      <c r="L766">
        <v>36083.5</v>
      </c>
      <c r="M766" t="str" cm="1">
        <f t="array" ref="M766">_xlfn.IFS(A766&lt;30,"Young",A766&lt;=50,"Adult",A766&gt;50,"Senior")</f>
        <v>Adult</v>
      </c>
    </row>
    <row r="767" spans="1:13" x14ac:dyDescent="0.3">
      <c r="A767">
        <v>57</v>
      </c>
      <c r="B767" t="s">
        <v>11</v>
      </c>
      <c r="C767">
        <v>31.824999999999999</v>
      </c>
      <c r="D767">
        <v>0</v>
      </c>
      <c r="E767" t="s">
        <v>19</v>
      </c>
      <c r="F767" t="s">
        <v>8</v>
      </c>
      <c r="G767">
        <v>11842.623750000001</v>
      </c>
      <c r="H767">
        <v>133.69999999999999</v>
      </c>
      <c r="I767" t="s">
        <v>2</v>
      </c>
      <c r="J767" t="b">
        <v>0</v>
      </c>
      <c r="K767" t="s">
        <v>14</v>
      </c>
      <c r="L767">
        <v>139832.54</v>
      </c>
      <c r="M767" t="str" cm="1">
        <f t="array" ref="M767">_xlfn.IFS(A767&lt;30,"Young",A767&lt;=50,"Adult",A767&gt;50,"Senior")</f>
        <v>Senior</v>
      </c>
    </row>
    <row r="768" spans="1:13" x14ac:dyDescent="0.3">
      <c r="A768">
        <v>47</v>
      </c>
      <c r="B768" t="s">
        <v>12</v>
      </c>
      <c r="C768">
        <v>32.299999999999997</v>
      </c>
      <c r="D768">
        <v>1</v>
      </c>
      <c r="E768" t="s">
        <v>19</v>
      </c>
      <c r="F768" t="s">
        <v>6</v>
      </c>
      <c r="G768">
        <v>8062.7640000000001</v>
      </c>
      <c r="H768">
        <v>110.6</v>
      </c>
      <c r="I768" t="s">
        <v>0</v>
      </c>
      <c r="J768" t="b">
        <v>0</v>
      </c>
      <c r="K768" t="s">
        <v>15</v>
      </c>
      <c r="L768">
        <v>171407.94</v>
      </c>
      <c r="M768" t="str" cm="1">
        <f t="array" ref="M768">_xlfn.IFS(A768&lt;30,"Young",A768&lt;=50,"Adult",A768&gt;50,"Senior")</f>
        <v>Adult</v>
      </c>
    </row>
    <row r="769" spans="1:13" x14ac:dyDescent="0.3">
      <c r="A769">
        <v>42</v>
      </c>
      <c r="B769" t="s">
        <v>11</v>
      </c>
      <c r="C769">
        <v>29</v>
      </c>
      <c r="D769">
        <v>1</v>
      </c>
      <c r="E769" t="s">
        <v>19</v>
      </c>
      <c r="F769" t="s">
        <v>6</v>
      </c>
      <c r="G769">
        <v>7050.6419999999998</v>
      </c>
      <c r="H769">
        <v>123.3</v>
      </c>
      <c r="I769" t="s">
        <v>0</v>
      </c>
      <c r="J769" t="b">
        <v>1</v>
      </c>
      <c r="K769" t="s">
        <v>15</v>
      </c>
      <c r="L769">
        <v>44415.41</v>
      </c>
      <c r="M769" t="str" cm="1">
        <f t="array" ref="M769">_xlfn.IFS(A769&lt;30,"Young",A769&lt;=50,"Adult",A769&gt;50,"Senior")</f>
        <v>Adult</v>
      </c>
    </row>
    <row r="770" spans="1:13" x14ac:dyDescent="0.3">
      <c r="A770">
        <v>64</v>
      </c>
      <c r="B770" t="s">
        <v>11</v>
      </c>
      <c r="C770">
        <v>39.700000000000003</v>
      </c>
      <c r="D770">
        <v>0</v>
      </c>
      <c r="E770" t="s">
        <v>19</v>
      </c>
      <c r="F770" t="s">
        <v>6</v>
      </c>
      <c r="G770">
        <v>14319.031000000001</v>
      </c>
      <c r="H770">
        <v>119.8</v>
      </c>
      <c r="I770" t="s">
        <v>3</v>
      </c>
      <c r="J770" t="b">
        <v>0</v>
      </c>
      <c r="K770" t="s">
        <v>14</v>
      </c>
      <c r="L770">
        <v>128449.26</v>
      </c>
      <c r="M770" t="str" cm="1">
        <f t="array" ref="M770">_xlfn.IFS(A770&lt;30,"Young",A770&lt;=50,"Adult",A770&gt;50,"Senior")</f>
        <v>Senior</v>
      </c>
    </row>
    <row r="771" spans="1:13" x14ac:dyDescent="0.3">
      <c r="A771">
        <v>38</v>
      </c>
      <c r="B771" t="s">
        <v>11</v>
      </c>
      <c r="C771">
        <v>19.475000000000001</v>
      </c>
      <c r="D771">
        <v>2</v>
      </c>
      <c r="E771" t="s">
        <v>19</v>
      </c>
      <c r="F771" t="s">
        <v>8</v>
      </c>
      <c r="G771">
        <v>6933.2422500000002</v>
      </c>
      <c r="H771">
        <v>120.7</v>
      </c>
      <c r="I771" t="s">
        <v>0</v>
      </c>
      <c r="J771" t="b">
        <v>0</v>
      </c>
      <c r="K771" t="s">
        <v>15</v>
      </c>
      <c r="L771">
        <v>130455.79</v>
      </c>
      <c r="M771" t="str" cm="1">
        <f t="array" ref="M771">_xlfn.IFS(A771&lt;30,"Young",A771&lt;=50,"Adult",A771&gt;50,"Senior")</f>
        <v>Adult</v>
      </c>
    </row>
    <row r="772" spans="1:13" x14ac:dyDescent="0.3">
      <c r="A772">
        <v>61</v>
      </c>
      <c r="B772" t="s">
        <v>12</v>
      </c>
      <c r="C772">
        <v>36.1</v>
      </c>
      <c r="D772">
        <v>3</v>
      </c>
      <c r="E772" t="s">
        <v>19</v>
      </c>
      <c r="F772" t="s">
        <v>6</v>
      </c>
      <c r="G772">
        <v>27941.28758</v>
      </c>
      <c r="H772">
        <v>127.3</v>
      </c>
      <c r="I772" t="s">
        <v>1</v>
      </c>
      <c r="J772" t="b">
        <v>1</v>
      </c>
      <c r="K772" t="s">
        <v>16</v>
      </c>
      <c r="L772">
        <v>173298.39</v>
      </c>
      <c r="M772" t="str" cm="1">
        <f t="array" ref="M772">_xlfn.IFS(A772&lt;30,"Young",A772&lt;=50,"Adult",A772&gt;50,"Senior")</f>
        <v>Senior</v>
      </c>
    </row>
    <row r="773" spans="1:13" x14ac:dyDescent="0.3">
      <c r="A773">
        <v>53</v>
      </c>
      <c r="B773" t="s">
        <v>11</v>
      </c>
      <c r="C773">
        <v>26.7</v>
      </c>
      <c r="D773">
        <v>2</v>
      </c>
      <c r="E773" t="s">
        <v>19</v>
      </c>
      <c r="F773" t="s">
        <v>6</v>
      </c>
      <c r="G773">
        <v>11150.78</v>
      </c>
      <c r="H773">
        <v>117.7</v>
      </c>
      <c r="I773" t="s">
        <v>1</v>
      </c>
      <c r="J773" t="b">
        <v>0</v>
      </c>
      <c r="K773" t="s">
        <v>15</v>
      </c>
      <c r="L773">
        <v>102856.38</v>
      </c>
      <c r="M773" t="str" cm="1">
        <f t="array" ref="M773">_xlfn.IFS(A773&lt;30,"Young",A773&lt;=50,"Adult",A773&gt;50,"Senior")</f>
        <v>Senior</v>
      </c>
    </row>
    <row r="774" spans="1:13" x14ac:dyDescent="0.3">
      <c r="A774">
        <v>44</v>
      </c>
      <c r="B774" t="s">
        <v>11</v>
      </c>
      <c r="C774">
        <v>36.479999999999997</v>
      </c>
      <c r="D774">
        <v>0</v>
      </c>
      <c r="E774" t="s">
        <v>19</v>
      </c>
      <c r="F774" t="s">
        <v>9</v>
      </c>
      <c r="G774">
        <v>12797.20962</v>
      </c>
      <c r="H774">
        <v>134.19999999999999</v>
      </c>
      <c r="I774" t="s">
        <v>1</v>
      </c>
      <c r="J774" t="b">
        <v>1</v>
      </c>
      <c r="K774" t="s">
        <v>15</v>
      </c>
      <c r="L774">
        <v>114221.45</v>
      </c>
      <c r="M774" t="str" cm="1">
        <f t="array" ref="M774">_xlfn.IFS(A774&lt;30,"Young",A774&lt;=50,"Adult",A774&gt;50,"Senior")</f>
        <v>Adult</v>
      </c>
    </row>
    <row r="775" spans="1:13" x14ac:dyDescent="0.3">
      <c r="A775">
        <v>19</v>
      </c>
      <c r="B775" t="s">
        <v>11</v>
      </c>
      <c r="C775">
        <v>28.88</v>
      </c>
      <c r="D775">
        <v>0</v>
      </c>
      <c r="E775" t="s">
        <v>18</v>
      </c>
      <c r="F775" t="s">
        <v>8</v>
      </c>
      <c r="G775">
        <v>17748.5062</v>
      </c>
      <c r="H775">
        <v>118.6</v>
      </c>
      <c r="I775" t="s">
        <v>2</v>
      </c>
      <c r="J775" t="b">
        <v>0</v>
      </c>
      <c r="K775" t="s">
        <v>16</v>
      </c>
      <c r="L775">
        <v>50296.47</v>
      </c>
      <c r="M775" t="str" cm="1">
        <f t="array" ref="M775">_xlfn.IFS(A775&lt;30,"Young",A775&lt;=50,"Adult",A775&gt;50,"Senior")</f>
        <v>Young</v>
      </c>
    </row>
    <row r="776" spans="1:13" x14ac:dyDescent="0.3">
      <c r="A776">
        <v>41</v>
      </c>
      <c r="B776" t="s">
        <v>12</v>
      </c>
      <c r="C776">
        <v>34.200000000000003</v>
      </c>
      <c r="D776">
        <v>2</v>
      </c>
      <c r="E776" t="s">
        <v>19</v>
      </c>
      <c r="F776" t="s">
        <v>8</v>
      </c>
      <c r="G776">
        <v>7261.741</v>
      </c>
      <c r="H776">
        <v>128.80000000000001</v>
      </c>
      <c r="I776" t="s">
        <v>0</v>
      </c>
      <c r="J776" t="b">
        <v>0</v>
      </c>
      <c r="K776" t="s">
        <v>16</v>
      </c>
      <c r="L776">
        <v>35053.839999999997</v>
      </c>
      <c r="M776" t="str" cm="1">
        <f t="array" ref="M776">_xlfn.IFS(A776&lt;30,"Young",A776&lt;=50,"Adult",A776&gt;50,"Senior")</f>
        <v>Adult</v>
      </c>
    </row>
    <row r="777" spans="1:13" x14ac:dyDescent="0.3">
      <c r="A777">
        <v>51</v>
      </c>
      <c r="B777" t="s">
        <v>12</v>
      </c>
      <c r="C777">
        <v>33.33</v>
      </c>
      <c r="D777">
        <v>3</v>
      </c>
      <c r="E777" t="s">
        <v>19</v>
      </c>
      <c r="F777" t="s">
        <v>7</v>
      </c>
      <c r="G777">
        <v>10560.4917</v>
      </c>
      <c r="H777">
        <v>112.7</v>
      </c>
      <c r="I777" t="s">
        <v>2</v>
      </c>
      <c r="J777" t="b">
        <v>1</v>
      </c>
      <c r="K777" t="s">
        <v>16</v>
      </c>
      <c r="L777">
        <v>135150.99</v>
      </c>
      <c r="M777" t="str" cm="1">
        <f t="array" ref="M777">_xlfn.IFS(A777&lt;30,"Young",A777&lt;=50,"Adult",A777&gt;50,"Senior")</f>
        <v>Senior</v>
      </c>
    </row>
    <row r="778" spans="1:13" x14ac:dyDescent="0.3">
      <c r="A778">
        <v>40</v>
      </c>
      <c r="B778" t="s">
        <v>12</v>
      </c>
      <c r="C778">
        <v>32.299999999999997</v>
      </c>
      <c r="D778">
        <v>2</v>
      </c>
      <c r="E778" t="s">
        <v>19</v>
      </c>
      <c r="F778" t="s">
        <v>8</v>
      </c>
      <c r="G778">
        <v>6986.6970000000001</v>
      </c>
      <c r="H778">
        <v>138.69999999999999</v>
      </c>
      <c r="I778" t="s">
        <v>2</v>
      </c>
      <c r="J778" t="b">
        <v>0</v>
      </c>
      <c r="K778" t="s">
        <v>16</v>
      </c>
      <c r="L778">
        <v>162183.29</v>
      </c>
      <c r="M778" t="str" cm="1">
        <f t="array" ref="M778">_xlfn.IFS(A778&lt;30,"Young",A778&lt;=50,"Adult",A778&gt;50,"Senior")</f>
        <v>Adult</v>
      </c>
    </row>
    <row r="779" spans="1:13" x14ac:dyDescent="0.3">
      <c r="A779">
        <v>45</v>
      </c>
      <c r="B779" t="s">
        <v>12</v>
      </c>
      <c r="C779">
        <v>39.805</v>
      </c>
      <c r="D779">
        <v>0</v>
      </c>
      <c r="E779" t="s">
        <v>19</v>
      </c>
      <c r="F779" t="s">
        <v>9</v>
      </c>
      <c r="G779">
        <v>7448.4039499999999</v>
      </c>
      <c r="H779">
        <v>124.9</v>
      </c>
      <c r="I779" t="s">
        <v>0</v>
      </c>
      <c r="J779" t="b">
        <v>0</v>
      </c>
      <c r="K779" t="s">
        <v>15</v>
      </c>
      <c r="L779">
        <v>136100.4</v>
      </c>
      <c r="M779" t="str" cm="1">
        <f t="array" ref="M779">_xlfn.IFS(A779&lt;30,"Young",A779&lt;=50,"Adult",A779&gt;50,"Senior")</f>
        <v>Adult</v>
      </c>
    </row>
    <row r="780" spans="1:13" x14ac:dyDescent="0.3">
      <c r="A780">
        <v>35</v>
      </c>
      <c r="B780" t="s">
        <v>12</v>
      </c>
      <c r="C780">
        <v>34.32</v>
      </c>
      <c r="D780">
        <v>3</v>
      </c>
      <c r="E780" t="s">
        <v>19</v>
      </c>
      <c r="F780" t="s">
        <v>7</v>
      </c>
      <c r="G780">
        <v>5934.3797999999997</v>
      </c>
      <c r="H780">
        <v>123.4</v>
      </c>
      <c r="I780" t="s">
        <v>3</v>
      </c>
      <c r="J780" t="b">
        <v>0</v>
      </c>
      <c r="K780" t="s">
        <v>16</v>
      </c>
      <c r="L780">
        <v>42156.480000000003</v>
      </c>
      <c r="M780" t="str" cm="1">
        <f t="array" ref="M780">_xlfn.IFS(A780&lt;30,"Young",A780&lt;=50,"Adult",A780&gt;50,"Senior")</f>
        <v>Adult</v>
      </c>
    </row>
    <row r="781" spans="1:13" x14ac:dyDescent="0.3">
      <c r="A781">
        <v>53</v>
      </c>
      <c r="B781" t="s">
        <v>12</v>
      </c>
      <c r="C781">
        <v>28.88</v>
      </c>
      <c r="D781">
        <v>0</v>
      </c>
      <c r="E781" t="s">
        <v>19</v>
      </c>
      <c r="F781" t="s">
        <v>8</v>
      </c>
      <c r="G781">
        <v>9869.8101999999999</v>
      </c>
      <c r="H781">
        <v>130.80000000000001</v>
      </c>
      <c r="I781" t="s">
        <v>3</v>
      </c>
      <c r="J781" t="b">
        <v>1</v>
      </c>
      <c r="K781" t="s">
        <v>15</v>
      </c>
      <c r="L781">
        <v>187895.19</v>
      </c>
      <c r="M781" t="str" cm="1">
        <f t="array" ref="M781">_xlfn.IFS(A781&lt;30,"Young",A781&lt;=50,"Adult",A781&gt;50,"Senior")</f>
        <v>Senior</v>
      </c>
    </row>
    <row r="782" spans="1:13" x14ac:dyDescent="0.3">
      <c r="A782">
        <v>30</v>
      </c>
      <c r="B782" t="s">
        <v>12</v>
      </c>
      <c r="C782">
        <v>24.4</v>
      </c>
      <c r="D782">
        <v>3</v>
      </c>
      <c r="E782" t="s">
        <v>18</v>
      </c>
      <c r="F782" t="s">
        <v>6</v>
      </c>
      <c r="G782">
        <v>18259.216</v>
      </c>
      <c r="H782">
        <v>115.1</v>
      </c>
      <c r="I782" t="s">
        <v>0</v>
      </c>
      <c r="J782" t="b">
        <v>0</v>
      </c>
      <c r="K782" t="s">
        <v>15</v>
      </c>
      <c r="L782">
        <v>59360.74</v>
      </c>
      <c r="M782" t="str" cm="1">
        <f t="array" ref="M782">_xlfn.IFS(A782&lt;30,"Young",A782&lt;=50,"Adult",A782&gt;50,"Senior")</f>
        <v>Adult</v>
      </c>
    </row>
    <row r="783" spans="1:13" x14ac:dyDescent="0.3">
      <c r="A783">
        <v>18</v>
      </c>
      <c r="B783" t="s">
        <v>12</v>
      </c>
      <c r="C783">
        <v>41.14</v>
      </c>
      <c r="D783">
        <v>0</v>
      </c>
      <c r="E783" t="s">
        <v>19</v>
      </c>
      <c r="F783" t="s">
        <v>7</v>
      </c>
      <c r="G783">
        <v>1146.7965999999999</v>
      </c>
      <c r="H783">
        <v>138.30000000000001</v>
      </c>
      <c r="I783" t="s">
        <v>3</v>
      </c>
      <c r="J783" t="b">
        <v>1</v>
      </c>
      <c r="K783" t="s">
        <v>16</v>
      </c>
      <c r="L783">
        <v>120391.35</v>
      </c>
      <c r="M783" t="str" cm="1">
        <f t="array" ref="M783">_xlfn.IFS(A783&lt;30,"Young",A783&lt;=50,"Adult",A783&gt;50,"Senior")</f>
        <v>Young</v>
      </c>
    </row>
    <row r="784" spans="1:13" x14ac:dyDescent="0.3">
      <c r="A784">
        <v>51</v>
      </c>
      <c r="B784" t="s">
        <v>12</v>
      </c>
      <c r="C784">
        <v>35.97</v>
      </c>
      <c r="D784">
        <v>1</v>
      </c>
      <c r="E784" t="s">
        <v>19</v>
      </c>
      <c r="F784" t="s">
        <v>7</v>
      </c>
      <c r="G784">
        <v>9386.1612999999998</v>
      </c>
      <c r="H784">
        <v>126.5</v>
      </c>
      <c r="I784" t="s">
        <v>2</v>
      </c>
      <c r="J784" t="b">
        <v>0</v>
      </c>
      <c r="K784" t="s">
        <v>15</v>
      </c>
      <c r="L784">
        <v>174009.97</v>
      </c>
      <c r="M784" t="str" cm="1">
        <f t="array" ref="M784">_xlfn.IFS(A784&lt;30,"Young",A784&lt;=50,"Adult",A784&gt;50,"Senior")</f>
        <v>Senior</v>
      </c>
    </row>
    <row r="785" spans="1:13" x14ac:dyDescent="0.3">
      <c r="A785">
        <v>50</v>
      </c>
      <c r="B785" t="s">
        <v>11</v>
      </c>
      <c r="C785">
        <v>27.6</v>
      </c>
      <c r="D785">
        <v>1</v>
      </c>
      <c r="E785" t="s">
        <v>18</v>
      </c>
      <c r="F785" t="s">
        <v>6</v>
      </c>
      <c r="G785">
        <v>24520.263999999999</v>
      </c>
      <c r="H785">
        <v>124.6</v>
      </c>
      <c r="I785" t="s">
        <v>3</v>
      </c>
      <c r="J785" t="b">
        <v>0</v>
      </c>
      <c r="K785" t="s">
        <v>15</v>
      </c>
      <c r="L785">
        <v>31066.82</v>
      </c>
      <c r="M785" t="str" cm="1">
        <f t="array" ref="M785">_xlfn.IFS(A785&lt;30,"Young",A785&lt;=50,"Adult",A785&gt;50,"Senior")</f>
        <v>Adult</v>
      </c>
    </row>
    <row r="786" spans="1:13" x14ac:dyDescent="0.3">
      <c r="A786">
        <v>31</v>
      </c>
      <c r="B786" t="s">
        <v>11</v>
      </c>
      <c r="C786">
        <v>29.26</v>
      </c>
      <c r="D786">
        <v>1</v>
      </c>
      <c r="E786" t="s">
        <v>19</v>
      </c>
      <c r="F786" t="s">
        <v>7</v>
      </c>
      <c r="G786">
        <v>4350.5144</v>
      </c>
      <c r="H786">
        <v>122.1</v>
      </c>
      <c r="I786" t="s">
        <v>0</v>
      </c>
      <c r="J786" t="b">
        <v>0</v>
      </c>
      <c r="K786" t="s">
        <v>14</v>
      </c>
      <c r="L786">
        <v>98939.26</v>
      </c>
      <c r="M786" t="str" cm="1">
        <f t="array" ref="M786">_xlfn.IFS(A786&lt;30,"Young",A786&lt;=50,"Adult",A786&gt;50,"Senior")</f>
        <v>Adult</v>
      </c>
    </row>
    <row r="787" spans="1:13" x14ac:dyDescent="0.3">
      <c r="A787">
        <v>35</v>
      </c>
      <c r="B787" t="s">
        <v>11</v>
      </c>
      <c r="C787">
        <v>27.7</v>
      </c>
      <c r="D787">
        <v>3</v>
      </c>
      <c r="E787" t="s">
        <v>19</v>
      </c>
      <c r="F787" t="s">
        <v>6</v>
      </c>
      <c r="G787">
        <v>6414.1779999999999</v>
      </c>
      <c r="H787">
        <v>115</v>
      </c>
      <c r="I787" t="s">
        <v>1</v>
      </c>
      <c r="J787" t="b">
        <v>0</v>
      </c>
      <c r="K787" t="s">
        <v>14</v>
      </c>
      <c r="L787">
        <v>85310.17</v>
      </c>
      <c r="M787" t="str" cm="1">
        <f t="array" ref="M787">_xlfn.IFS(A787&lt;30,"Young",A787&lt;=50,"Adult",A787&gt;50,"Senior")</f>
        <v>Adult</v>
      </c>
    </row>
    <row r="788" spans="1:13" x14ac:dyDescent="0.3">
      <c r="A788">
        <v>60</v>
      </c>
      <c r="B788" t="s">
        <v>12</v>
      </c>
      <c r="C788">
        <v>36.954999999999998</v>
      </c>
      <c r="D788">
        <v>0</v>
      </c>
      <c r="E788" t="s">
        <v>19</v>
      </c>
      <c r="F788" t="s">
        <v>9</v>
      </c>
      <c r="G788">
        <v>12741.167450000001</v>
      </c>
      <c r="H788">
        <v>110.5</v>
      </c>
      <c r="I788" t="s">
        <v>0</v>
      </c>
      <c r="J788" t="b">
        <v>0</v>
      </c>
      <c r="K788" t="s">
        <v>15</v>
      </c>
      <c r="L788">
        <v>149872.45000000001</v>
      </c>
      <c r="M788" t="str" cm="1">
        <f t="array" ref="M788">_xlfn.IFS(A788&lt;30,"Young",A788&lt;=50,"Adult",A788&gt;50,"Senior")</f>
        <v>Senior</v>
      </c>
    </row>
    <row r="789" spans="1:13" x14ac:dyDescent="0.3">
      <c r="A789">
        <v>21</v>
      </c>
      <c r="B789" t="s">
        <v>12</v>
      </c>
      <c r="C789">
        <v>36.86</v>
      </c>
      <c r="D789">
        <v>0</v>
      </c>
      <c r="E789" t="s">
        <v>19</v>
      </c>
      <c r="F789" t="s">
        <v>8</v>
      </c>
      <c r="G789">
        <v>1917.3184000000001</v>
      </c>
      <c r="H789">
        <v>114.8</v>
      </c>
      <c r="I789" t="s">
        <v>3</v>
      </c>
      <c r="J789" t="b">
        <v>1</v>
      </c>
      <c r="K789" t="s">
        <v>16</v>
      </c>
      <c r="L789">
        <v>124600.56</v>
      </c>
      <c r="M789" t="str" cm="1">
        <f t="array" ref="M789">_xlfn.IFS(A789&lt;30,"Young",A789&lt;=50,"Adult",A789&gt;50,"Senior")</f>
        <v>Young</v>
      </c>
    </row>
    <row r="790" spans="1:13" x14ac:dyDescent="0.3">
      <c r="A790">
        <v>29</v>
      </c>
      <c r="B790" t="s">
        <v>12</v>
      </c>
      <c r="C790">
        <v>22.515000000000001</v>
      </c>
      <c r="D790">
        <v>3</v>
      </c>
      <c r="E790" t="s">
        <v>19</v>
      </c>
      <c r="F790" t="s">
        <v>9</v>
      </c>
      <c r="G790">
        <v>5209.5788499999999</v>
      </c>
      <c r="H790">
        <v>113.6</v>
      </c>
      <c r="I790" t="s">
        <v>3</v>
      </c>
      <c r="J790" t="b">
        <v>0</v>
      </c>
      <c r="K790" t="s">
        <v>14</v>
      </c>
      <c r="L790">
        <v>70523.62</v>
      </c>
      <c r="M790" t="str" cm="1">
        <f t="array" ref="M790">_xlfn.IFS(A790&lt;30,"Young",A790&lt;=50,"Adult",A790&gt;50,"Senior")</f>
        <v>Young</v>
      </c>
    </row>
    <row r="791" spans="1:13" x14ac:dyDescent="0.3">
      <c r="A791">
        <v>62</v>
      </c>
      <c r="B791" t="s">
        <v>11</v>
      </c>
      <c r="C791">
        <v>29.92</v>
      </c>
      <c r="D791">
        <v>0</v>
      </c>
      <c r="E791" t="s">
        <v>19</v>
      </c>
      <c r="F791" t="s">
        <v>7</v>
      </c>
      <c r="G791">
        <v>13457.960800000001</v>
      </c>
      <c r="H791">
        <v>115.1</v>
      </c>
      <c r="I791" t="s">
        <v>3</v>
      </c>
      <c r="J791" t="b">
        <v>0</v>
      </c>
      <c r="K791" t="s">
        <v>14</v>
      </c>
      <c r="L791">
        <v>70040.78</v>
      </c>
      <c r="M791" t="str" cm="1">
        <f t="array" ref="M791">_xlfn.IFS(A791&lt;30,"Young",A791&lt;=50,"Adult",A791&gt;50,"Senior")</f>
        <v>Senior</v>
      </c>
    </row>
    <row r="792" spans="1:13" x14ac:dyDescent="0.3">
      <c r="A792">
        <v>39</v>
      </c>
      <c r="B792" t="s">
        <v>11</v>
      </c>
      <c r="C792">
        <v>41.8</v>
      </c>
      <c r="D792">
        <v>0</v>
      </c>
      <c r="E792" t="s">
        <v>19</v>
      </c>
      <c r="F792" t="s">
        <v>7</v>
      </c>
      <c r="G792">
        <v>5662.2250000000004</v>
      </c>
      <c r="H792">
        <v>120.3</v>
      </c>
      <c r="I792" t="s">
        <v>2</v>
      </c>
      <c r="J792" t="b">
        <v>1</v>
      </c>
      <c r="K792" t="s">
        <v>15</v>
      </c>
      <c r="L792">
        <v>137999.15</v>
      </c>
      <c r="M792" t="str" cm="1">
        <f t="array" ref="M792">_xlfn.IFS(A792&lt;30,"Young",A792&lt;=50,"Adult",A792&gt;50,"Senior")</f>
        <v>Adult</v>
      </c>
    </row>
    <row r="793" spans="1:13" x14ac:dyDescent="0.3">
      <c r="A793">
        <v>19</v>
      </c>
      <c r="B793" t="s">
        <v>12</v>
      </c>
      <c r="C793">
        <v>27.6</v>
      </c>
      <c r="D793">
        <v>0</v>
      </c>
      <c r="E793" t="s">
        <v>19</v>
      </c>
      <c r="F793" t="s">
        <v>6</v>
      </c>
      <c r="G793">
        <v>1252.4069999999999</v>
      </c>
      <c r="H793">
        <v>132.69999999999999</v>
      </c>
      <c r="I793" t="s">
        <v>0</v>
      </c>
      <c r="J793" t="b">
        <v>1</v>
      </c>
      <c r="K793" t="s">
        <v>15</v>
      </c>
      <c r="L793">
        <v>85097.56</v>
      </c>
      <c r="M793" t="str" cm="1">
        <f t="array" ref="M793">_xlfn.IFS(A793&lt;30,"Young",A793&lt;=50,"Adult",A793&gt;50,"Senior")</f>
        <v>Young</v>
      </c>
    </row>
    <row r="794" spans="1:13" x14ac:dyDescent="0.3">
      <c r="A794">
        <v>22</v>
      </c>
      <c r="B794" t="s">
        <v>11</v>
      </c>
      <c r="C794">
        <v>23.18</v>
      </c>
      <c r="D794">
        <v>0</v>
      </c>
      <c r="E794" t="s">
        <v>19</v>
      </c>
      <c r="F794" t="s">
        <v>9</v>
      </c>
      <c r="G794">
        <v>2731.9122000000002</v>
      </c>
      <c r="H794">
        <v>110.2</v>
      </c>
      <c r="I794" t="s">
        <v>3</v>
      </c>
      <c r="J794" t="b">
        <v>0</v>
      </c>
      <c r="K794" t="s">
        <v>15</v>
      </c>
      <c r="L794">
        <v>33082.410000000003</v>
      </c>
      <c r="M794" t="str" cm="1">
        <f t="array" ref="M794">_xlfn.IFS(A794&lt;30,"Young",A794&lt;=50,"Adult",A794&gt;50,"Senior")</f>
        <v>Young</v>
      </c>
    </row>
    <row r="795" spans="1:13" x14ac:dyDescent="0.3">
      <c r="A795">
        <v>53</v>
      </c>
      <c r="B795" t="s">
        <v>12</v>
      </c>
      <c r="C795">
        <v>20.9</v>
      </c>
      <c r="D795">
        <v>0</v>
      </c>
      <c r="E795" t="s">
        <v>18</v>
      </c>
      <c r="F795" t="s">
        <v>7</v>
      </c>
      <c r="G795">
        <v>21195.817999999999</v>
      </c>
      <c r="H795">
        <v>113.6</v>
      </c>
      <c r="I795" t="s">
        <v>0</v>
      </c>
      <c r="J795" t="b">
        <v>0</v>
      </c>
      <c r="K795" t="s">
        <v>14</v>
      </c>
      <c r="L795">
        <v>126135.42</v>
      </c>
      <c r="M795" t="str" cm="1">
        <f t="array" ref="M795">_xlfn.IFS(A795&lt;30,"Young",A795&lt;=50,"Adult",A795&gt;50,"Senior")</f>
        <v>Senior</v>
      </c>
    </row>
    <row r="796" spans="1:13" x14ac:dyDescent="0.3">
      <c r="A796">
        <v>39</v>
      </c>
      <c r="B796" t="s">
        <v>11</v>
      </c>
      <c r="C796">
        <v>31.92</v>
      </c>
      <c r="D796">
        <v>2</v>
      </c>
      <c r="E796" t="s">
        <v>19</v>
      </c>
      <c r="F796" t="s">
        <v>8</v>
      </c>
      <c r="G796">
        <v>7209.4917999999998</v>
      </c>
      <c r="H796">
        <v>110.5</v>
      </c>
      <c r="I796" t="s">
        <v>2</v>
      </c>
      <c r="J796" t="b">
        <v>1</v>
      </c>
      <c r="K796" t="s">
        <v>15</v>
      </c>
      <c r="L796">
        <v>180139.03</v>
      </c>
      <c r="M796" t="str" cm="1">
        <f t="array" ref="M796">_xlfn.IFS(A796&lt;30,"Young",A796&lt;=50,"Adult",A796&gt;50,"Senior")</f>
        <v>Adult</v>
      </c>
    </row>
    <row r="797" spans="1:13" x14ac:dyDescent="0.3">
      <c r="A797">
        <v>27</v>
      </c>
      <c r="B797" t="s">
        <v>12</v>
      </c>
      <c r="C797">
        <v>28.5</v>
      </c>
      <c r="D797">
        <v>0</v>
      </c>
      <c r="E797" t="s">
        <v>18</v>
      </c>
      <c r="F797" t="s">
        <v>8</v>
      </c>
      <c r="G797">
        <v>18310.741999999998</v>
      </c>
      <c r="H797">
        <v>124.3</v>
      </c>
      <c r="I797" t="s">
        <v>0</v>
      </c>
      <c r="J797" t="b">
        <v>1</v>
      </c>
      <c r="K797" t="s">
        <v>15</v>
      </c>
      <c r="L797">
        <v>144424.10999999999</v>
      </c>
      <c r="M797" t="str" cm="1">
        <f t="array" ref="M797">_xlfn.IFS(A797&lt;30,"Young",A797&lt;=50,"Adult",A797&gt;50,"Senior")</f>
        <v>Young</v>
      </c>
    </row>
    <row r="798" spans="1:13" x14ac:dyDescent="0.3">
      <c r="A798">
        <v>30</v>
      </c>
      <c r="B798" t="s">
        <v>12</v>
      </c>
      <c r="C798">
        <v>44.22</v>
      </c>
      <c r="D798">
        <v>2</v>
      </c>
      <c r="E798" t="s">
        <v>19</v>
      </c>
      <c r="F798" t="s">
        <v>7</v>
      </c>
      <c r="G798">
        <v>4266.1657999999998</v>
      </c>
      <c r="H798">
        <v>120.5</v>
      </c>
      <c r="I798" t="s">
        <v>1</v>
      </c>
      <c r="J798" t="b">
        <v>1</v>
      </c>
      <c r="K798" t="s">
        <v>15</v>
      </c>
      <c r="L798">
        <v>122041.72</v>
      </c>
      <c r="M798" t="str" cm="1">
        <f t="array" ref="M798">_xlfn.IFS(A798&lt;30,"Young",A798&lt;=50,"Adult",A798&gt;50,"Senior")</f>
        <v>Adult</v>
      </c>
    </row>
    <row r="799" spans="1:13" x14ac:dyDescent="0.3">
      <c r="A799">
        <v>30</v>
      </c>
      <c r="B799" t="s">
        <v>11</v>
      </c>
      <c r="C799">
        <v>22.895</v>
      </c>
      <c r="D799">
        <v>1</v>
      </c>
      <c r="E799" t="s">
        <v>19</v>
      </c>
      <c r="F799" t="s">
        <v>9</v>
      </c>
      <c r="G799">
        <v>4719.52405</v>
      </c>
      <c r="H799">
        <v>130</v>
      </c>
      <c r="I799" t="s">
        <v>0</v>
      </c>
      <c r="J799" t="b">
        <v>1</v>
      </c>
      <c r="K799" t="s">
        <v>14</v>
      </c>
      <c r="L799">
        <v>183490.02</v>
      </c>
      <c r="M799" t="str" cm="1">
        <f t="array" ref="M799">_xlfn.IFS(A799&lt;30,"Young",A799&lt;=50,"Adult",A799&gt;50,"Senior")</f>
        <v>Adult</v>
      </c>
    </row>
    <row r="800" spans="1:13" x14ac:dyDescent="0.3">
      <c r="A800">
        <v>58</v>
      </c>
      <c r="B800" t="s">
        <v>11</v>
      </c>
      <c r="C800">
        <v>33.1</v>
      </c>
      <c r="D800">
        <v>0</v>
      </c>
      <c r="E800" t="s">
        <v>19</v>
      </c>
      <c r="F800" t="s">
        <v>6</v>
      </c>
      <c r="G800">
        <v>11848.141</v>
      </c>
      <c r="H800">
        <v>127.3</v>
      </c>
      <c r="I800" t="s">
        <v>1</v>
      </c>
      <c r="J800" t="b">
        <v>0</v>
      </c>
      <c r="K800" t="s">
        <v>15</v>
      </c>
      <c r="L800">
        <v>105330.37</v>
      </c>
      <c r="M800" t="str" cm="1">
        <f t="array" ref="M800">_xlfn.IFS(A800&lt;30,"Young",A800&lt;=50,"Adult",A800&gt;50,"Senior")</f>
        <v>Senior</v>
      </c>
    </row>
    <row r="801" spans="1:13" x14ac:dyDescent="0.3">
      <c r="A801">
        <v>33</v>
      </c>
      <c r="B801" t="s">
        <v>12</v>
      </c>
      <c r="C801">
        <v>24.795000000000002</v>
      </c>
      <c r="D801">
        <v>0</v>
      </c>
      <c r="E801" t="s">
        <v>18</v>
      </c>
      <c r="F801" t="s">
        <v>9</v>
      </c>
      <c r="G801">
        <v>17904.527050000001</v>
      </c>
      <c r="H801">
        <v>116.5</v>
      </c>
      <c r="I801" t="s">
        <v>0</v>
      </c>
      <c r="J801" t="b">
        <v>1</v>
      </c>
      <c r="K801" t="s">
        <v>16</v>
      </c>
      <c r="L801">
        <v>198477.8</v>
      </c>
      <c r="M801" t="str" cm="1">
        <f t="array" ref="M801">_xlfn.IFS(A801&lt;30,"Young",A801&lt;=50,"Adult",A801&gt;50,"Senior")</f>
        <v>Adult</v>
      </c>
    </row>
    <row r="802" spans="1:13" x14ac:dyDescent="0.3">
      <c r="A802">
        <v>42</v>
      </c>
      <c r="B802" t="s">
        <v>11</v>
      </c>
      <c r="C802">
        <v>26.18</v>
      </c>
      <c r="D802">
        <v>1</v>
      </c>
      <c r="E802" t="s">
        <v>19</v>
      </c>
      <c r="F802" t="s">
        <v>7</v>
      </c>
      <c r="G802">
        <v>7046.7222000000002</v>
      </c>
      <c r="H802">
        <v>118</v>
      </c>
      <c r="I802" t="s">
        <v>0</v>
      </c>
      <c r="J802" t="b">
        <v>1</v>
      </c>
      <c r="K802" t="s">
        <v>15</v>
      </c>
      <c r="L802">
        <v>73131.3</v>
      </c>
      <c r="M802" t="str" cm="1">
        <f t="array" ref="M802">_xlfn.IFS(A802&lt;30,"Young",A802&lt;=50,"Adult",A802&gt;50,"Senior")</f>
        <v>Adult</v>
      </c>
    </row>
    <row r="803" spans="1:13" x14ac:dyDescent="0.3">
      <c r="A803">
        <v>64</v>
      </c>
      <c r="B803" t="s">
        <v>11</v>
      </c>
      <c r="C803">
        <v>35.97</v>
      </c>
      <c r="D803">
        <v>0</v>
      </c>
      <c r="E803" t="s">
        <v>19</v>
      </c>
      <c r="F803" t="s">
        <v>7</v>
      </c>
      <c r="G803">
        <v>14313.846299999999</v>
      </c>
      <c r="H803">
        <v>110.1</v>
      </c>
      <c r="I803" t="s">
        <v>3</v>
      </c>
      <c r="J803" t="b">
        <v>1</v>
      </c>
      <c r="K803" t="s">
        <v>16</v>
      </c>
      <c r="L803">
        <v>36948.85</v>
      </c>
      <c r="M803" t="str" cm="1">
        <f t="array" ref="M803">_xlfn.IFS(A803&lt;30,"Young",A803&lt;=50,"Adult",A803&gt;50,"Senior")</f>
        <v>Senior</v>
      </c>
    </row>
    <row r="804" spans="1:13" x14ac:dyDescent="0.3">
      <c r="A804">
        <v>21</v>
      </c>
      <c r="B804" t="s">
        <v>12</v>
      </c>
      <c r="C804">
        <v>22.3</v>
      </c>
      <c r="D804">
        <v>1</v>
      </c>
      <c r="E804" t="s">
        <v>19</v>
      </c>
      <c r="F804" t="s">
        <v>6</v>
      </c>
      <c r="G804">
        <v>2103.08</v>
      </c>
      <c r="H804">
        <v>115.9</v>
      </c>
      <c r="I804" t="s">
        <v>3</v>
      </c>
      <c r="J804" t="b">
        <v>0</v>
      </c>
      <c r="K804" t="s">
        <v>16</v>
      </c>
      <c r="L804">
        <v>183262.74</v>
      </c>
      <c r="M804" t="str" cm="1">
        <f t="array" ref="M804">_xlfn.IFS(A804&lt;30,"Young",A804&lt;=50,"Adult",A804&gt;50,"Senior")</f>
        <v>Young</v>
      </c>
    </row>
    <row r="805" spans="1:13" x14ac:dyDescent="0.3">
      <c r="A805">
        <v>18</v>
      </c>
      <c r="B805" t="s">
        <v>11</v>
      </c>
      <c r="C805">
        <v>42.24</v>
      </c>
      <c r="D805">
        <v>0</v>
      </c>
      <c r="E805" t="s">
        <v>18</v>
      </c>
      <c r="F805" t="s">
        <v>7</v>
      </c>
      <c r="G805">
        <v>38792.685599999997</v>
      </c>
      <c r="H805">
        <v>129.69999999999999</v>
      </c>
      <c r="I805" t="s">
        <v>3</v>
      </c>
      <c r="J805" t="b">
        <v>1</v>
      </c>
      <c r="K805" t="s">
        <v>16</v>
      </c>
      <c r="L805">
        <v>141462.18</v>
      </c>
      <c r="M805" t="str" cm="1">
        <f t="array" ref="M805">_xlfn.IFS(A805&lt;30,"Young",A805&lt;=50,"Adult",A805&gt;50,"Senior")</f>
        <v>Young</v>
      </c>
    </row>
    <row r="806" spans="1:13" x14ac:dyDescent="0.3">
      <c r="A806">
        <v>23</v>
      </c>
      <c r="B806" t="s">
        <v>12</v>
      </c>
      <c r="C806">
        <v>26.51</v>
      </c>
      <c r="D806">
        <v>0</v>
      </c>
      <c r="E806" t="s">
        <v>19</v>
      </c>
      <c r="F806" t="s">
        <v>7</v>
      </c>
      <c r="G806">
        <v>1815.8759</v>
      </c>
      <c r="H806">
        <v>139.9</v>
      </c>
      <c r="I806" t="s">
        <v>0</v>
      </c>
      <c r="J806" t="b">
        <v>1</v>
      </c>
      <c r="K806" t="s">
        <v>14</v>
      </c>
      <c r="L806">
        <v>193061.49</v>
      </c>
      <c r="M806" t="str" cm="1">
        <f t="array" ref="M806">_xlfn.IFS(A806&lt;30,"Young",A806&lt;=50,"Adult",A806&gt;50,"Senior")</f>
        <v>Young</v>
      </c>
    </row>
    <row r="807" spans="1:13" x14ac:dyDescent="0.3">
      <c r="A807">
        <v>45</v>
      </c>
      <c r="B807" t="s">
        <v>11</v>
      </c>
      <c r="C807">
        <v>35.814999999999998</v>
      </c>
      <c r="D807">
        <v>0</v>
      </c>
      <c r="E807" t="s">
        <v>19</v>
      </c>
      <c r="F807" t="s">
        <v>8</v>
      </c>
      <c r="G807">
        <v>7731.8578500000003</v>
      </c>
      <c r="H807">
        <v>115.7</v>
      </c>
      <c r="I807" t="s">
        <v>2</v>
      </c>
      <c r="J807" t="b">
        <v>0</v>
      </c>
      <c r="K807" t="s">
        <v>14</v>
      </c>
      <c r="L807">
        <v>37134.43</v>
      </c>
      <c r="M807" t="str" cm="1">
        <f t="array" ref="M807">_xlfn.IFS(A807&lt;30,"Young",A807&lt;=50,"Adult",A807&gt;50,"Senior")</f>
        <v>Adult</v>
      </c>
    </row>
    <row r="808" spans="1:13" x14ac:dyDescent="0.3">
      <c r="A808">
        <v>40</v>
      </c>
      <c r="B808" t="s">
        <v>11</v>
      </c>
      <c r="C808">
        <v>41.42</v>
      </c>
      <c r="D808">
        <v>1</v>
      </c>
      <c r="E808" t="s">
        <v>19</v>
      </c>
      <c r="F808" t="s">
        <v>8</v>
      </c>
      <c r="G808">
        <v>28476.734990000001</v>
      </c>
      <c r="H808">
        <v>133.5</v>
      </c>
      <c r="I808" t="s">
        <v>0</v>
      </c>
      <c r="J808" t="b">
        <v>1</v>
      </c>
      <c r="K808" t="s">
        <v>16</v>
      </c>
      <c r="L808">
        <v>86176.91</v>
      </c>
      <c r="M808" t="str" cm="1">
        <f t="array" ref="M808">_xlfn.IFS(A808&lt;30,"Young",A808&lt;=50,"Adult",A808&gt;50,"Senior")</f>
        <v>Adult</v>
      </c>
    </row>
    <row r="809" spans="1:13" x14ac:dyDescent="0.3">
      <c r="A809">
        <v>19</v>
      </c>
      <c r="B809" t="s">
        <v>11</v>
      </c>
      <c r="C809">
        <v>36.575000000000003</v>
      </c>
      <c r="D809">
        <v>0</v>
      </c>
      <c r="E809" t="s">
        <v>19</v>
      </c>
      <c r="F809" t="s">
        <v>8</v>
      </c>
      <c r="G809">
        <v>2136.8822500000001</v>
      </c>
      <c r="H809">
        <v>127.8</v>
      </c>
      <c r="I809" t="s">
        <v>1</v>
      </c>
      <c r="J809" t="b">
        <v>1</v>
      </c>
      <c r="K809" t="s">
        <v>16</v>
      </c>
      <c r="L809">
        <v>53501.53</v>
      </c>
      <c r="M809" t="str" cm="1">
        <f t="array" ref="M809">_xlfn.IFS(A809&lt;30,"Young",A809&lt;=50,"Adult",A809&gt;50,"Senior")</f>
        <v>Young</v>
      </c>
    </row>
    <row r="810" spans="1:13" x14ac:dyDescent="0.3">
      <c r="A810">
        <v>18</v>
      </c>
      <c r="B810" t="s">
        <v>12</v>
      </c>
      <c r="C810">
        <v>30.14</v>
      </c>
      <c r="D810">
        <v>0</v>
      </c>
      <c r="E810" t="s">
        <v>19</v>
      </c>
      <c r="F810" t="s">
        <v>7</v>
      </c>
      <c r="G810">
        <v>1131.5065999999999</v>
      </c>
      <c r="H810">
        <v>110.5</v>
      </c>
      <c r="I810" t="s">
        <v>1</v>
      </c>
      <c r="J810" t="b">
        <v>0</v>
      </c>
      <c r="K810" t="s">
        <v>16</v>
      </c>
      <c r="L810">
        <v>148241.45000000001</v>
      </c>
      <c r="M810" t="str" cm="1">
        <f t="array" ref="M810">_xlfn.IFS(A810&lt;30,"Young",A810&lt;=50,"Adult",A810&gt;50,"Senior")</f>
        <v>Young</v>
      </c>
    </row>
    <row r="811" spans="1:13" x14ac:dyDescent="0.3">
      <c r="A811">
        <v>25</v>
      </c>
      <c r="B811" t="s">
        <v>12</v>
      </c>
      <c r="C811">
        <v>25.84</v>
      </c>
      <c r="D811">
        <v>1</v>
      </c>
      <c r="E811" t="s">
        <v>19</v>
      </c>
      <c r="F811" t="s">
        <v>9</v>
      </c>
      <c r="G811">
        <v>3309.7926000000002</v>
      </c>
      <c r="H811">
        <v>139.19999999999999</v>
      </c>
      <c r="I811" t="s">
        <v>2</v>
      </c>
      <c r="J811" t="b">
        <v>0</v>
      </c>
      <c r="K811" t="s">
        <v>16</v>
      </c>
      <c r="L811">
        <v>170786.88</v>
      </c>
      <c r="M811" t="str" cm="1">
        <f t="array" ref="M811">_xlfn.IFS(A811&lt;30,"Young",A811&lt;=50,"Adult",A811&gt;50,"Senior")</f>
        <v>Young</v>
      </c>
    </row>
    <row r="812" spans="1:13" x14ac:dyDescent="0.3">
      <c r="A812">
        <v>46</v>
      </c>
      <c r="B812" t="s">
        <v>11</v>
      </c>
      <c r="C812">
        <v>30.8</v>
      </c>
      <c r="D812">
        <v>3</v>
      </c>
      <c r="E812" t="s">
        <v>19</v>
      </c>
      <c r="F812" t="s">
        <v>6</v>
      </c>
      <c r="G812">
        <v>9414.92</v>
      </c>
      <c r="H812">
        <v>133.30000000000001</v>
      </c>
      <c r="I812" t="s">
        <v>0</v>
      </c>
      <c r="J812" t="b">
        <v>0</v>
      </c>
      <c r="K812" t="s">
        <v>14</v>
      </c>
      <c r="L812">
        <v>37408.080000000002</v>
      </c>
      <c r="M812" t="str" cm="1">
        <f t="array" ref="M812">_xlfn.IFS(A812&lt;30,"Young",A812&lt;=50,"Adult",A812&gt;50,"Senior")</f>
        <v>Adult</v>
      </c>
    </row>
    <row r="813" spans="1:13" x14ac:dyDescent="0.3">
      <c r="A813">
        <v>33</v>
      </c>
      <c r="B813" t="s">
        <v>11</v>
      </c>
      <c r="C813">
        <v>42.94</v>
      </c>
      <c r="D813">
        <v>3</v>
      </c>
      <c r="E813" t="s">
        <v>19</v>
      </c>
      <c r="F813" t="s">
        <v>8</v>
      </c>
      <c r="G813">
        <v>6360.9935999999998</v>
      </c>
      <c r="H813">
        <v>137.1</v>
      </c>
      <c r="I813" t="s">
        <v>0</v>
      </c>
      <c r="J813" t="b">
        <v>0</v>
      </c>
      <c r="K813" t="s">
        <v>15</v>
      </c>
      <c r="L813">
        <v>32095.22</v>
      </c>
      <c r="M813" t="str" cm="1">
        <f t="array" ref="M813">_xlfn.IFS(A813&lt;30,"Young",A813&lt;=50,"Adult",A813&gt;50,"Senior")</f>
        <v>Adult</v>
      </c>
    </row>
    <row r="814" spans="1:13" x14ac:dyDescent="0.3">
      <c r="A814">
        <v>54</v>
      </c>
      <c r="B814" t="s">
        <v>12</v>
      </c>
      <c r="C814">
        <v>21.01</v>
      </c>
      <c r="D814">
        <v>2</v>
      </c>
      <c r="E814" t="s">
        <v>19</v>
      </c>
      <c r="F814" t="s">
        <v>7</v>
      </c>
      <c r="G814">
        <v>11013.7119</v>
      </c>
      <c r="H814">
        <v>117.9</v>
      </c>
      <c r="I814" t="s">
        <v>2</v>
      </c>
      <c r="J814" t="b">
        <v>1</v>
      </c>
      <c r="K814" t="s">
        <v>15</v>
      </c>
      <c r="L814">
        <v>63795.38</v>
      </c>
      <c r="M814" t="str" cm="1">
        <f t="array" ref="M814">_xlfn.IFS(A814&lt;30,"Young",A814&lt;=50,"Adult",A814&gt;50,"Senior")</f>
        <v>Senior</v>
      </c>
    </row>
    <row r="815" spans="1:13" x14ac:dyDescent="0.3">
      <c r="A815">
        <v>28</v>
      </c>
      <c r="B815" t="s">
        <v>12</v>
      </c>
      <c r="C815">
        <v>22.515000000000001</v>
      </c>
      <c r="D815">
        <v>2</v>
      </c>
      <c r="E815" t="s">
        <v>19</v>
      </c>
      <c r="F815" t="s">
        <v>9</v>
      </c>
      <c r="G815">
        <v>4428.8878500000001</v>
      </c>
      <c r="H815">
        <v>127.5</v>
      </c>
      <c r="I815" t="s">
        <v>0</v>
      </c>
      <c r="J815" t="b">
        <v>0</v>
      </c>
      <c r="K815" t="s">
        <v>16</v>
      </c>
      <c r="L815">
        <v>143358.75</v>
      </c>
      <c r="M815" t="str" cm="1">
        <f t="array" ref="M815">_xlfn.IFS(A815&lt;30,"Young",A815&lt;=50,"Adult",A815&gt;50,"Senior")</f>
        <v>Young</v>
      </c>
    </row>
    <row r="816" spans="1:13" x14ac:dyDescent="0.3">
      <c r="A816">
        <v>36</v>
      </c>
      <c r="B816" t="s">
        <v>12</v>
      </c>
      <c r="C816">
        <v>34.43</v>
      </c>
      <c r="D816">
        <v>2</v>
      </c>
      <c r="E816" t="s">
        <v>19</v>
      </c>
      <c r="F816" t="s">
        <v>7</v>
      </c>
      <c r="G816">
        <v>5584.3056999999999</v>
      </c>
      <c r="H816">
        <v>114.5</v>
      </c>
      <c r="I816" t="s">
        <v>1</v>
      </c>
      <c r="J816" t="b">
        <v>0</v>
      </c>
      <c r="K816" t="s">
        <v>14</v>
      </c>
      <c r="L816">
        <v>123447.4</v>
      </c>
      <c r="M816" t="str" cm="1">
        <f t="array" ref="M816">_xlfn.IFS(A816&lt;30,"Young",A816&lt;=50,"Adult",A816&gt;50,"Senior")</f>
        <v>Adult</v>
      </c>
    </row>
    <row r="817" spans="1:13" x14ac:dyDescent="0.3">
      <c r="A817">
        <v>20</v>
      </c>
      <c r="B817" t="s">
        <v>11</v>
      </c>
      <c r="C817">
        <v>31.46</v>
      </c>
      <c r="D817">
        <v>0</v>
      </c>
      <c r="E817" t="s">
        <v>19</v>
      </c>
      <c r="F817" t="s">
        <v>7</v>
      </c>
      <c r="G817">
        <v>1877.9294</v>
      </c>
      <c r="H817">
        <v>130.6</v>
      </c>
      <c r="I817" t="s">
        <v>2</v>
      </c>
      <c r="J817" t="b">
        <v>1</v>
      </c>
      <c r="K817" t="s">
        <v>14</v>
      </c>
      <c r="L817">
        <v>38904.47</v>
      </c>
      <c r="M817" t="str" cm="1">
        <f t="array" ref="M817">_xlfn.IFS(A817&lt;30,"Young",A817&lt;=50,"Adult",A817&gt;50,"Senior")</f>
        <v>Young</v>
      </c>
    </row>
    <row r="818" spans="1:13" x14ac:dyDescent="0.3">
      <c r="A818">
        <v>24</v>
      </c>
      <c r="B818" t="s">
        <v>11</v>
      </c>
      <c r="C818">
        <v>24.225000000000001</v>
      </c>
      <c r="D818">
        <v>0</v>
      </c>
      <c r="E818" t="s">
        <v>19</v>
      </c>
      <c r="F818" t="s">
        <v>8</v>
      </c>
      <c r="G818">
        <v>2842.7607499999999</v>
      </c>
      <c r="H818">
        <v>137.6</v>
      </c>
      <c r="I818" t="s">
        <v>1</v>
      </c>
      <c r="J818" t="b">
        <v>1</v>
      </c>
      <c r="K818" t="s">
        <v>16</v>
      </c>
      <c r="L818">
        <v>80999.22</v>
      </c>
      <c r="M818" t="str" cm="1">
        <f t="array" ref="M818">_xlfn.IFS(A818&lt;30,"Young",A818&lt;=50,"Adult",A818&gt;50,"Senior")</f>
        <v>Young</v>
      </c>
    </row>
    <row r="819" spans="1:13" x14ac:dyDescent="0.3">
      <c r="A819">
        <v>23</v>
      </c>
      <c r="B819" t="s">
        <v>12</v>
      </c>
      <c r="C819">
        <v>37.1</v>
      </c>
      <c r="D819">
        <v>3</v>
      </c>
      <c r="E819" t="s">
        <v>19</v>
      </c>
      <c r="F819" t="s">
        <v>6</v>
      </c>
      <c r="G819">
        <v>3597.596</v>
      </c>
      <c r="H819">
        <v>133.30000000000001</v>
      </c>
      <c r="I819" t="s">
        <v>3</v>
      </c>
      <c r="J819" t="b">
        <v>1</v>
      </c>
      <c r="K819" t="s">
        <v>15</v>
      </c>
      <c r="L819">
        <v>113910.24</v>
      </c>
      <c r="M819" t="str" cm="1">
        <f t="array" ref="M819">_xlfn.IFS(A819&lt;30,"Young",A819&lt;=50,"Adult",A819&gt;50,"Senior")</f>
        <v>Young</v>
      </c>
    </row>
    <row r="820" spans="1:13" x14ac:dyDescent="0.3">
      <c r="A820">
        <v>47</v>
      </c>
      <c r="B820" t="s">
        <v>11</v>
      </c>
      <c r="C820">
        <v>26.125</v>
      </c>
      <c r="D820">
        <v>1</v>
      </c>
      <c r="E820" t="s">
        <v>18</v>
      </c>
      <c r="F820" t="s">
        <v>9</v>
      </c>
      <c r="G820">
        <v>23401.30575</v>
      </c>
      <c r="H820">
        <v>112.7</v>
      </c>
      <c r="I820" t="s">
        <v>3</v>
      </c>
      <c r="J820" t="b">
        <v>0</v>
      </c>
      <c r="K820" t="s">
        <v>16</v>
      </c>
      <c r="L820">
        <v>156126.42000000001</v>
      </c>
      <c r="M820" t="str" cm="1">
        <f t="array" ref="M820">_xlfn.IFS(A820&lt;30,"Young",A820&lt;=50,"Adult",A820&gt;50,"Senior")</f>
        <v>Adult</v>
      </c>
    </row>
    <row r="821" spans="1:13" x14ac:dyDescent="0.3">
      <c r="A821">
        <v>33</v>
      </c>
      <c r="B821" t="s">
        <v>11</v>
      </c>
      <c r="C821">
        <v>35.53</v>
      </c>
      <c r="D821">
        <v>0</v>
      </c>
      <c r="E821" t="s">
        <v>18</v>
      </c>
      <c r="F821" t="s">
        <v>8</v>
      </c>
      <c r="G821">
        <v>55135.402090000003</v>
      </c>
      <c r="H821">
        <v>130.5</v>
      </c>
      <c r="I821" t="s">
        <v>1</v>
      </c>
      <c r="J821" t="b">
        <v>0</v>
      </c>
      <c r="K821" t="s">
        <v>16</v>
      </c>
      <c r="L821">
        <v>156218.54999999999</v>
      </c>
      <c r="M821" t="str" cm="1">
        <f t="array" ref="M821">_xlfn.IFS(A821&lt;30,"Young",A821&lt;=50,"Adult",A821&gt;50,"Senior")</f>
        <v>Adult</v>
      </c>
    </row>
    <row r="822" spans="1:13" x14ac:dyDescent="0.3">
      <c r="A822">
        <v>45</v>
      </c>
      <c r="B822" t="s">
        <v>12</v>
      </c>
      <c r="C822">
        <v>33.700000000000003</v>
      </c>
      <c r="D822">
        <v>1</v>
      </c>
      <c r="E822" t="s">
        <v>19</v>
      </c>
      <c r="F822" t="s">
        <v>6</v>
      </c>
      <c r="G822">
        <v>7445.9179999999997</v>
      </c>
      <c r="H822">
        <v>128.69999999999999</v>
      </c>
      <c r="I822" t="s">
        <v>1</v>
      </c>
      <c r="J822" t="b">
        <v>0</v>
      </c>
      <c r="K822" t="s">
        <v>16</v>
      </c>
      <c r="L822">
        <v>140588.68</v>
      </c>
      <c r="M822" t="str" cm="1">
        <f t="array" ref="M822">_xlfn.IFS(A822&lt;30,"Young",A822&lt;=50,"Adult",A822&gt;50,"Senior")</f>
        <v>Adult</v>
      </c>
    </row>
    <row r="823" spans="1:13" x14ac:dyDescent="0.3">
      <c r="A823">
        <v>26</v>
      </c>
      <c r="B823" t="s">
        <v>12</v>
      </c>
      <c r="C823">
        <v>17.670000000000002</v>
      </c>
      <c r="D823">
        <v>0</v>
      </c>
      <c r="E823" t="s">
        <v>19</v>
      </c>
      <c r="F823" t="s">
        <v>8</v>
      </c>
      <c r="G823">
        <v>2680.9493000000002</v>
      </c>
      <c r="H823">
        <v>122</v>
      </c>
      <c r="I823" t="s">
        <v>2</v>
      </c>
      <c r="J823" t="b">
        <v>1</v>
      </c>
      <c r="K823" t="s">
        <v>14</v>
      </c>
      <c r="L823">
        <v>166391.71</v>
      </c>
      <c r="M823" t="str" cm="1">
        <f t="array" ref="M823">_xlfn.IFS(A823&lt;30,"Young",A823&lt;=50,"Adult",A823&gt;50,"Senior")</f>
        <v>Young</v>
      </c>
    </row>
    <row r="824" spans="1:13" x14ac:dyDescent="0.3">
      <c r="A824">
        <v>18</v>
      </c>
      <c r="B824" t="s">
        <v>11</v>
      </c>
      <c r="C824">
        <v>31.13</v>
      </c>
      <c r="D824">
        <v>0</v>
      </c>
      <c r="E824" t="s">
        <v>19</v>
      </c>
      <c r="F824" t="s">
        <v>7</v>
      </c>
      <c r="G824">
        <v>1621.8827000000001</v>
      </c>
      <c r="H824">
        <v>115.1</v>
      </c>
      <c r="I824" t="s">
        <v>0</v>
      </c>
      <c r="J824" t="b">
        <v>0</v>
      </c>
      <c r="K824" t="s">
        <v>14</v>
      </c>
      <c r="L824">
        <v>52562.11</v>
      </c>
      <c r="M824" t="str" cm="1">
        <f t="array" ref="M824">_xlfn.IFS(A824&lt;30,"Young",A824&lt;=50,"Adult",A824&gt;50,"Senior")</f>
        <v>Young</v>
      </c>
    </row>
    <row r="825" spans="1:13" x14ac:dyDescent="0.3">
      <c r="A825">
        <v>44</v>
      </c>
      <c r="B825" t="s">
        <v>11</v>
      </c>
      <c r="C825">
        <v>29.81</v>
      </c>
      <c r="D825">
        <v>2</v>
      </c>
      <c r="E825" t="s">
        <v>19</v>
      </c>
      <c r="F825" t="s">
        <v>7</v>
      </c>
      <c r="G825">
        <v>8219.2039000000004</v>
      </c>
      <c r="H825">
        <v>120.7</v>
      </c>
      <c r="I825" t="s">
        <v>0</v>
      </c>
      <c r="J825" t="b">
        <v>0</v>
      </c>
      <c r="K825" t="s">
        <v>16</v>
      </c>
      <c r="L825">
        <v>167927.56</v>
      </c>
      <c r="M825" t="str" cm="1">
        <f t="array" ref="M825">_xlfn.IFS(A825&lt;30,"Young",A825&lt;=50,"Adult",A825&gt;50,"Senior")</f>
        <v>Adult</v>
      </c>
    </row>
    <row r="826" spans="1:13" x14ac:dyDescent="0.3">
      <c r="A826">
        <v>60</v>
      </c>
      <c r="B826" t="s">
        <v>12</v>
      </c>
      <c r="C826">
        <v>24.32</v>
      </c>
      <c r="D826">
        <v>0</v>
      </c>
      <c r="E826" t="s">
        <v>19</v>
      </c>
      <c r="F826" t="s">
        <v>8</v>
      </c>
      <c r="G826">
        <v>12523.604799999999</v>
      </c>
      <c r="H826">
        <v>135.5</v>
      </c>
      <c r="I826" t="s">
        <v>1</v>
      </c>
      <c r="J826" t="b">
        <v>0</v>
      </c>
      <c r="K826" t="s">
        <v>15</v>
      </c>
      <c r="L826">
        <v>53594.93</v>
      </c>
      <c r="M826" t="str" cm="1">
        <f t="array" ref="M826">_xlfn.IFS(A826&lt;30,"Young",A826&lt;=50,"Adult",A826&gt;50,"Senior")</f>
        <v>Senior</v>
      </c>
    </row>
    <row r="827" spans="1:13" x14ac:dyDescent="0.3">
      <c r="A827">
        <v>64</v>
      </c>
      <c r="B827" t="s">
        <v>11</v>
      </c>
      <c r="C827">
        <v>31.824999999999999</v>
      </c>
      <c r="D827">
        <v>2</v>
      </c>
      <c r="E827" t="s">
        <v>19</v>
      </c>
      <c r="F827" t="s">
        <v>9</v>
      </c>
      <c r="G827">
        <v>16069.08475</v>
      </c>
      <c r="H827">
        <v>111.5</v>
      </c>
      <c r="I827" t="s">
        <v>2</v>
      </c>
      <c r="J827" t="b">
        <v>0</v>
      </c>
      <c r="K827" t="s">
        <v>16</v>
      </c>
      <c r="L827">
        <v>106286.87</v>
      </c>
      <c r="M827" t="str" cm="1">
        <f t="array" ref="M827">_xlfn.IFS(A827&lt;30,"Young",A827&lt;=50,"Adult",A827&gt;50,"Senior")</f>
        <v>Senior</v>
      </c>
    </row>
    <row r="828" spans="1:13" x14ac:dyDescent="0.3">
      <c r="A828">
        <v>56</v>
      </c>
      <c r="B828" t="s">
        <v>12</v>
      </c>
      <c r="C828">
        <v>31.79</v>
      </c>
      <c r="D828">
        <v>2</v>
      </c>
      <c r="E828" t="s">
        <v>18</v>
      </c>
      <c r="F828" t="s">
        <v>7</v>
      </c>
      <c r="G828">
        <v>43813.866099999999</v>
      </c>
      <c r="H828">
        <v>110.8</v>
      </c>
      <c r="I828" t="s">
        <v>2</v>
      </c>
      <c r="J828" t="b">
        <v>1</v>
      </c>
      <c r="K828" t="s">
        <v>14</v>
      </c>
      <c r="L828">
        <v>173980.74</v>
      </c>
      <c r="M828" t="str" cm="1">
        <f t="array" ref="M828">_xlfn.IFS(A828&lt;30,"Young",A828&lt;=50,"Adult",A828&gt;50,"Senior")</f>
        <v>Senior</v>
      </c>
    </row>
    <row r="829" spans="1:13" x14ac:dyDescent="0.3">
      <c r="A829">
        <v>36</v>
      </c>
      <c r="B829" t="s">
        <v>12</v>
      </c>
      <c r="C829">
        <v>28.024999999999999</v>
      </c>
      <c r="D829">
        <v>1</v>
      </c>
      <c r="E829" t="s">
        <v>18</v>
      </c>
      <c r="F829" t="s">
        <v>9</v>
      </c>
      <c r="G829">
        <v>20773.62775</v>
      </c>
      <c r="H829">
        <v>118.3</v>
      </c>
      <c r="I829" t="s">
        <v>1</v>
      </c>
      <c r="J829" t="b">
        <v>0</v>
      </c>
      <c r="K829" t="s">
        <v>14</v>
      </c>
      <c r="L829">
        <v>31538.63</v>
      </c>
      <c r="M829" t="str" cm="1">
        <f t="array" ref="M829">_xlfn.IFS(A829&lt;30,"Young",A829&lt;=50,"Adult",A829&gt;50,"Senior")</f>
        <v>Adult</v>
      </c>
    </row>
    <row r="830" spans="1:13" x14ac:dyDescent="0.3">
      <c r="A830">
        <v>41</v>
      </c>
      <c r="B830" t="s">
        <v>12</v>
      </c>
      <c r="C830">
        <v>30.78</v>
      </c>
      <c r="D830">
        <v>3</v>
      </c>
      <c r="E830" t="s">
        <v>18</v>
      </c>
      <c r="F830" t="s">
        <v>9</v>
      </c>
      <c r="G830">
        <v>39597.407200000001</v>
      </c>
      <c r="H830">
        <v>119.4</v>
      </c>
      <c r="I830" t="s">
        <v>3</v>
      </c>
      <c r="J830" t="b">
        <v>1</v>
      </c>
      <c r="K830" t="s">
        <v>16</v>
      </c>
      <c r="L830">
        <v>180766</v>
      </c>
      <c r="M830" t="str" cm="1">
        <f t="array" ref="M830">_xlfn.IFS(A830&lt;30,"Young",A830&lt;=50,"Adult",A830&gt;50,"Senior")</f>
        <v>Adult</v>
      </c>
    </row>
    <row r="831" spans="1:13" x14ac:dyDescent="0.3">
      <c r="A831">
        <v>39</v>
      </c>
      <c r="B831" t="s">
        <v>12</v>
      </c>
      <c r="C831">
        <v>21.85</v>
      </c>
      <c r="D831">
        <v>1</v>
      </c>
      <c r="E831" t="s">
        <v>19</v>
      </c>
      <c r="F831" t="s">
        <v>8</v>
      </c>
      <c r="G831">
        <v>6117.4944999999998</v>
      </c>
      <c r="H831">
        <v>111.2</v>
      </c>
      <c r="I831" t="s">
        <v>0</v>
      </c>
      <c r="J831" t="b">
        <v>1</v>
      </c>
      <c r="K831" t="s">
        <v>15</v>
      </c>
      <c r="L831">
        <v>118037.31</v>
      </c>
      <c r="M831" t="str" cm="1">
        <f t="array" ref="M831">_xlfn.IFS(A831&lt;30,"Young",A831&lt;=50,"Adult",A831&gt;50,"Senior")</f>
        <v>Adult</v>
      </c>
    </row>
    <row r="832" spans="1:13" x14ac:dyDescent="0.3">
      <c r="A832">
        <v>63</v>
      </c>
      <c r="B832" t="s">
        <v>12</v>
      </c>
      <c r="C832">
        <v>33.1</v>
      </c>
      <c r="D832">
        <v>0</v>
      </c>
      <c r="E832" t="s">
        <v>19</v>
      </c>
      <c r="F832" t="s">
        <v>6</v>
      </c>
      <c r="G832">
        <v>13393.755999999999</v>
      </c>
      <c r="H832">
        <v>110.1</v>
      </c>
      <c r="I832" t="s">
        <v>2</v>
      </c>
      <c r="J832" t="b">
        <v>1</v>
      </c>
      <c r="K832" t="s">
        <v>15</v>
      </c>
      <c r="L832">
        <v>151199.99</v>
      </c>
      <c r="M832" t="str" cm="1">
        <f t="array" ref="M832">_xlfn.IFS(A832&lt;30,"Young",A832&lt;=50,"Adult",A832&gt;50,"Senior")</f>
        <v>Senior</v>
      </c>
    </row>
    <row r="833" spans="1:13" x14ac:dyDescent="0.3">
      <c r="A833">
        <v>36</v>
      </c>
      <c r="B833" t="s">
        <v>11</v>
      </c>
      <c r="C833">
        <v>25.84</v>
      </c>
      <c r="D833">
        <v>0</v>
      </c>
      <c r="E833" t="s">
        <v>19</v>
      </c>
      <c r="F833" t="s">
        <v>8</v>
      </c>
      <c r="G833">
        <v>5266.3656000000001</v>
      </c>
      <c r="H833">
        <v>124.3</v>
      </c>
      <c r="I833" t="s">
        <v>0</v>
      </c>
      <c r="J833" t="b">
        <v>0</v>
      </c>
      <c r="K833" t="s">
        <v>14</v>
      </c>
      <c r="L833">
        <v>58340.33</v>
      </c>
      <c r="M833" t="str" cm="1">
        <f t="array" ref="M833">_xlfn.IFS(A833&lt;30,"Young",A833&lt;=50,"Adult",A833&gt;50,"Senior")</f>
        <v>Adult</v>
      </c>
    </row>
    <row r="834" spans="1:13" x14ac:dyDescent="0.3">
      <c r="A834">
        <v>28</v>
      </c>
      <c r="B834" t="s">
        <v>11</v>
      </c>
      <c r="C834">
        <v>23.844999999999999</v>
      </c>
      <c r="D834">
        <v>2</v>
      </c>
      <c r="E834" t="s">
        <v>19</v>
      </c>
      <c r="F834" t="s">
        <v>8</v>
      </c>
      <c r="G834">
        <v>4719.7365499999996</v>
      </c>
      <c r="H834">
        <v>119.8</v>
      </c>
      <c r="I834" t="s">
        <v>2</v>
      </c>
      <c r="J834" t="b">
        <v>1</v>
      </c>
      <c r="K834" t="s">
        <v>16</v>
      </c>
      <c r="L834">
        <v>130439.07</v>
      </c>
      <c r="M834" t="str" cm="1">
        <f t="array" ref="M834">_xlfn.IFS(A834&lt;30,"Young",A834&lt;=50,"Adult",A834&gt;50,"Senior")</f>
        <v>Young</v>
      </c>
    </row>
    <row r="835" spans="1:13" x14ac:dyDescent="0.3">
      <c r="A835">
        <v>58</v>
      </c>
      <c r="B835" t="s">
        <v>12</v>
      </c>
      <c r="C835">
        <v>34.39</v>
      </c>
      <c r="D835">
        <v>0</v>
      </c>
      <c r="E835" t="s">
        <v>19</v>
      </c>
      <c r="F835" t="s">
        <v>8</v>
      </c>
      <c r="G835">
        <v>11743.9341</v>
      </c>
      <c r="H835">
        <v>113.3</v>
      </c>
      <c r="I835" t="s">
        <v>1</v>
      </c>
      <c r="J835" t="b">
        <v>1</v>
      </c>
      <c r="K835" t="s">
        <v>14</v>
      </c>
      <c r="L835">
        <v>92329.39</v>
      </c>
      <c r="M835" t="str" cm="1">
        <f t="array" ref="M835">_xlfn.IFS(A835&lt;30,"Young",A835&lt;=50,"Adult",A835&gt;50,"Senior")</f>
        <v>Senior</v>
      </c>
    </row>
    <row r="836" spans="1:13" x14ac:dyDescent="0.3">
      <c r="A836">
        <v>36</v>
      </c>
      <c r="B836" t="s">
        <v>12</v>
      </c>
      <c r="C836">
        <v>33.82</v>
      </c>
      <c r="D836">
        <v>1</v>
      </c>
      <c r="E836" t="s">
        <v>19</v>
      </c>
      <c r="F836" t="s">
        <v>8</v>
      </c>
      <c r="G836">
        <v>5377.4578000000001</v>
      </c>
      <c r="H836">
        <v>135</v>
      </c>
      <c r="I836" t="s">
        <v>0</v>
      </c>
      <c r="J836" t="b">
        <v>0</v>
      </c>
      <c r="K836" t="s">
        <v>16</v>
      </c>
      <c r="L836">
        <v>156465.91</v>
      </c>
      <c r="M836" t="str" cm="1">
        <f t="array" ref="M836">_xlfn.IFS(A836&lt;30,"Young",A836&lt;=50,"Adult",A836&gt;50,"Senior")</f>
        <v>Adult</v>
      </c>
    </row>
    <row r="837" spans="1:13" x14ac:dyDescent="0.3">
      <c r="A837">
        <v>42</v>
      </c>
      <c r="B837" t="s">
        <v>12</v>
      </c>
      <c r="C837">
        <v>35.97</v>
      </c>
      <c r="D837">
        <v>2</v>
      </c>
      <c r="E837" t="s">
        <v>19</v>
      </c>
      <c r="F837" t="s">
        <v>7</v>
      </c>
      <c r="G837">
        <v>7160.3302999999996</v>
      </c>
      <c r="H837">
        <v>139.9</v>
      </c>
      <c r="I837" t="s">
        <v>2</v>
      </c>
      <c r="J837" t="b">
        <v>1</v>
      </c>
      <c r="K837" t="s">
        <v>15</v>
      </c>
      <c r="L837">
        <v>97902.29</v>
      </c>
      <c r="M837" t="str" cm="1">
        <f t="array" ref="M837">_xlfn.IFS(A837&lt;30,"Young",A837&lt;=50,"Adult",A837&gt;50,"Senior")</f>
        <v>Adult</v>
      </c>
    </row>
    <row r="838" spans="1:13" x14ac:dyDescent="0.3">
      <c r="A838">
        <v>36</v>
      </c>
      <c r="B838" t="s">
        <v>12</v>
      </c>
      <c r="C838">
        <v>31.5</v>
      </c>
      <c r="D838">
        <v>0</v>
      </c>
      <c r="E838" t="s">
        <v>19</v>
      </c>
      <c r="F838" t="s">
        <v>6</v>
      </c>
      <c r="G838">
        <v>4402.2330000000002</v>
      </c>
      <c r="H838">
        <v>120.1</v>
      </c>
      <c r="I838" t="s">
        <v>2</v>
      </c>
      <c r="J838" t="b">
        <v>0</v>
      </c>
      <c r="K838" t="s">
        <v>15</v>
      </c>
      <c r="L838">
        <v>109777.07</v>
      </c>
      <c r="M838" t="str" cm="1">
        <f t="array" ref="M838">_xlfn.IFS(A838&lt;30,"Young",A838&lt;=50,"Adult",A838&gt;50,"Senior")</f>
        <v>Adult</v>
      </c>
    </row>
    <row r="839" spans="1:13" x14ac:dyDescent="0.3">
      <c r="A839">
        <v>56</v>
      </c>
      <c r="B839" t="s">
        <v>11</v>
      </c>
      <c r="C839">
        <v>28.31</v>
      </c>
      <c r="D839">
        <v>0</v>
      </c>
      <c r="E839" t="s">
        <v>19</v>
      </c>
      <c r="F839" t="s">
        <v>9</v>
      </c>
      <c r="G839">
        <v>11657.7189</v>
      </c>
      <c r="H839">
        <v>139.4</v>
      </c>
      <c r="I839" t="s">
        <v>0</v>
      </c>
      <c r="J839" t="b">
        <v>0</v>
      </c>
      <c r="K839" t="s">
        <v>16</v>
      </c>
      <c r="L839">
        <v>85115.26</v>
      </c>
      <c r="M839" t="str" cm="1">
        <f t="array" ref="M839">_xlfn.IFS(A839&lt;30,"Young",A839&lt;=50,"Adult",A839&gt;50,"Senior")</f>
        <v>Senior</v>
      </c>
    </row>
    <row r="840" spans="1:13" x14ac:dyDescent="0.3">
      <c r="A840">
        <v>35</v>
      </c>
      <c r="B840" t="s">
        <v>11</v>
      </c>
      <c r="C840">
        <v>23.465</v>
      </c>
      <c r="D840">
        <v>2</v>
      </c>
      <c r="E840" t="s">
        <v>19</v>
      </c>
      <c r="F840" t="s">
        <v>9</v>
      </c>
      <c r="G840">
        <v>6402.2913500000004</v>
      </c>
      <c r="H840">
        <v>139</v>
      </c>
      <c r="I840" t="s">
        <v>3</v>
      </c>
      <c r="J840" t="b">
        <v>1</v>
      </c>
      <c r="K840" t="s">
        <v>15</v>
      </c>
      <c r="L840">
        <v>148960.94</v>
      </c>
      <c r="M840" t="str" cm="1">
        <f t="array" ref="M840">_xlfn.IFS(A840&lt;30,"Young",A840&lt;=50,"Adult",A840&gt;50,"Senior")</f>
        <v>Adult</v>
      </c>
    </row>
    <row r="841" spans="1:13" x14ac:dyDescent="0.3">
      <c r="A841">
        <v>59</v>
      </c>
      <c r="B841" t="s">
        <v>11</v>
      </c>
      <c r="C841">
        <v>31.35</v>
      </c>
      <c r="D841">
        <v>0</v>
      </c>
      <c r="E841" t="s">
        <v>19</v>
      </c>
      <c r="F841" t="s">
        <v>8</v>
      </c>
      <c r="G841">
        <v>12622.1795</v>
      </c>
      <c r="H841">
        <v>122.7</v>
      </c>
      <c r="I841" t="s">
        <v>3</v>
      </c>
      <c r="J841" t="b">
        <v>0</v>
      </c>
      <c r="K841" t="s">
        <v>15</v>
      </c>
      <c r="L841">
        <v>92726.7</v>
      </c>
      <c r="M841" t="str" cm="1">
        <f t="array" ref="M841">_xlfn.IFS(A841&lt;30,"Young",A841&lt;=50,"Adult",A841&gt;50,"Senior")</f>
        <v>Senior</v>
      </c>
    </row>
    <row r="842" spans="1:13" x14ac:dyDescent="0.3">
      <c r="A842">
        <v>21</v>
      </c>
      <c r="B842" t="s">
        <v>12</v>
      </c>
      <c r="C842">
        <v>31.1</v>
      </c>
      <c r="D842">
        <v>0</v>
      </c>
      <c r="E842" t="s">
        <v>19</v>
      </c>
      <c r="F842" t="s">
        <v>6</v>
      </c>
      <c r="G842">
        <v>1526.3119999999999</v>
      </c>
      <c r="H842">
        <v>126.7</v>
      </c>
      <c r="I842" t="s">
        <v>1</v>
      </c>
      <c r="J842" t="b">
        <v>0</v>
      </c>
      <c r="K842" t="s">
        <v>16</v>
      </c>
      <c r="L842">
        <v>83810.570000000007</v>
      </c>
      <c r="M842" t="str" cm="1">
        <f t="array" ref="M842">_xlfn.IFS(A842&lt;30,"Young",A842&lt;=50,"Adult",A842&gt;50,"Senior")</f>
        <v>Young</v>
      </c>
    </row>
    <row r="843" spans="1:13" x14ac:dyDescent="0.3">
      <c r="A843">
        <v>59</v>
      </c>
      <c r="B843" t="s">
        <v>12</v>
      </c>
      <c r="C843">
        <v>24.7</v>
      </c>
      <c r="D843">
        <v>0</v>
      </c>
      <c r="E843" t="s">
        <v>19</v>
      </c>
      <c r="F843" t="s">
        <v>9</v>
      </c>
      <c r="G843">
        <v>12323.936</v>
      </c>
      <c r="H843">
        <v>137.5</v>
      </c>
      <c r="I843" t="s">
        <v>3</v>
      </c>
      <c r="J843" t="b">
        <v>1</v>
      </c>
      <c r="K843" t="s">
        <v>16</v>
      </c>
      <c r="L843">
        <v>86257.22</v>
      </c>
      <c r="M843" t="str" cm="1">
        <f t="array" ref="M843">_xlfn.IFS(A843&lt;30,"Young",A843&lt;=50,"Adult",A843&gt;50,"Senior")</f>
        <v>Senior</v>
      </c>
    </row>
    <row r="844" spans="1:13" x14ac:dyDescent="0.3">
      <c r="A844">
        <v>23</v>
      </c>
      <c r="B844" t="s">
        <v>11</v>
      </c>
      <c r="C844">
        <v>32.78</v>
      </c>
      <c r="D844">
        <v>2</v>
      </c>
      <c r="E844" t="s">
        <v>18</v>
      </c>
      <c r="F844" t="s">
        <v>7</v>
      </c>
      <c r="G844">
        <v>36021.011200000001</v>
      </c>
      <c r="H844">
        <v>138.9</v>
      </c>
      <c r="I844" t="s">
        <v>1</v>
      </c>
      <c r="J844" t="b">
        <v>0</v>
      </c>
      <c r="K844" t="s">
        <v>14</v>
      </c>
      <c r="L844">
        <v>142675.51</v>
      </c>
      <c r="M844" t="str" cm="1">
        <f t="array" ref="M844">_xlfn.IFS(A844&lt;30,"Young",A844&lt;=50,"Adult",A844&gt;50,"Senior")</f>
        <v>Young</v>
      </c>
    </row>
    <row r="845" spans="1:13" x14ac:dyDescent="0.3">
      <c r="A845">
        <v>57</v>
      </c>
      <c r="B845" t="s">
        <v>11</v>
      </c>
      <c r="C845">
        <v>29.81</v>
      </c>
      <c r="D845">
        <v>0</v>
      </c>
      <c r="E845" t="s">
        <v>18</v>
      </c>
      <c r="F845" t="s">
        <v>7</v>
      </c>
      <c r="G845">
        <v>27533.912899999999</v>
      </c>
      <c r="H845">
        <v>128.9</v>
      </c>
      <c r="I845" t="s">
        <v>0</v>
      </c>
      <c r="J845" t="b">
        <v>0</v>
      </c>
      <c r="K845" t="s">
        <v>15</v>
      </c>
      <c r="L845">
        <v>127034.48</v>
      </c>
      <c r="M845" t="str" cm="1">
        <f t="array" ref="M845">_xlfn.IFS(A845&lt;30,"Young",A845&lt;=50,"Adult",A845&gt;50,"Senior")</f>
        <v>Senior</v>
      </c>
    </row>
    <row r="846" spans="1:13" x14ac:dyDescent="0.3">
      <c r="A846">
        <v>53</v>
      </c>
      <c r="B846" t="s">
        <v>12</v>
      </c>
      <c r="C846">
        <v>30.495000000000001</v>
      </c>
      <c r="D846">
        <v>0</v>
      </c>
      <c r="E846" t="s">
        <v>19</v>
      </c>
      <c r="F846" t="s">
        <v>9</v>
      </c>
      <c r="G846">
        <v>10072.055050000001</v>
      </c>
      <c r="H846">
        <v>136.6</v>
      </c>
      <c r="I846" t="s">
        <v>1</v>
      </c>
      <c r="J846" t="b">
        <v>0</v>
      </c>
      <c r="K846" t="s">
        <v>16</v>
      </c>
      <c r="L846">
        <v>180785.66</v>
      </c>
      <c r="M846" t="str" cm="1">
        <f t="array" ref="M846">_xlfn.IFS(A846&lt;30,"Young",A846&lt;=50,"Adult",A846&gt;50,"Senior")</f>
        <v>Senior</v>
      </c>
    </row>
    <row r="847" spans="1:13" x14ac:dyDescent="0.3">
      <c r="A847">
        <v>60</v>
      </c>
      <c r="B847" t="s">
        <v>11</v>
      </c>
      <c r="C847">
        <v>32.450000000000003</v>
      </c>
      <c r="D847">
        <v>0</v>
      </c>
      <c r="E847" t="s">
        <v>18</v>
      </c>
      <c r="F847" t="s">
        <v>7</v>
      </c>
      <c r="G847">
        <v>45008.955499999996</v>
      </c>
      <c r="H847">
        <v>119.8</v>
      </c>
      <c r="I847" t="s">
        <v>2</v>
      </c>
      <c r="J847" t="b">
        <v>1</v>
      </c>
      <c r="K847" t="s">
        <v>15</v>
      </c>
      <c r="L847">
        <v>46568.63</v>
      </c>
      <c r="M847" t="str" cm="1">
        <f t="array" ref="M847">_xlfn.IFS(A847&lt;30,"Young",A847&lt;=50,"Adult",A847&gt;50,"Senior")</f>
        <v>Senior</v>
      </c>
    </row>
    <row r="848" spans="1:13" x14ac:dyDescent="0.3">
      <c r="A848">
        <v>51</v>
      </c>
      <c r="B848" t="s">
        <v>11</v>
      </c>
      <c r="C848">
        <v>34.200000000000003</v>
      </c>
      <c r="D848">
        <v>1</v>
      </c>
      <c r="E848" t="s">
        <v>19</v>
      </c>
      <c r="F848" t="s">
        <v>6</v>
      </c>
      <c r="G848">
        <v>9872.7009999999991</v>
      </c>
      <c r="H848">
        <v>127.7</v>
      </c>
      <c r="I848" t="s">
        <v>0</v>
      </c>
      <c r="J848" t="b">
        <v>1</v>
      </c>
      <c r="K848" t="s">
        <v>15</v>
      </c>
      <c r="L848">
        <v>89369.71</v>
      </c>
      <c r="M848" t="str" cm="1">
        <f t="array" ref="M848">_xlfn.IFS(A848&lt;30,"Young",A848&lt;=50,"Adult",A848&gt;50,"Senior")</f>
        <v>Senior</v>
      </c>
    </row>
    <row r="849" spans="1:13" x14ac:dyDescent="0.3">
      <c r="A849">
        <v>23</v>
      </c>
      <c r="B849" t="s">
        <v>12</v>
      </c>
      <c r="C849">
        <v>50.38</v>
      </c>
      <c r="D849">
        <v>1</v>
      </c>
      <c r="E849" t="s">
        <v>19</v>
      </c>
      <c r="F849" t="s">
        <v>7</v>
      </c>
      <c r="G849">
        <v>2438.0551999999998</v>
      </c>
      <c r="H849">
        <v>111.5</v>
      </c>
      <c r="I849" t="s">
        <v>1</v>
      </c>
      <c r="J849" t="b">
        <v>1</v>
      </c>
      <c r="K849" t="s">
        <v>15</v>
      </c>
      <c r="L849">
        <v>140677.88</v>
      </c>
      <c r="M849" t="str" cm="1">
        <f t="array" ref="M849">_xlfn.IFS(A849&lt;30,"Young",A849&lt;=50,"Adult",A849&gt;50,"Senior")</f>
        <v>Young</v>
      </c>
    </row>
    <row r="850" spans="1:13" x14ac:dyDescent="0.3">
      <c r="A850">
        <v>27</v>
      </c>
      <c r="B850" t="s">
        <v>11</v>
      </c>
      <c r="C850">
        <v>24.1</v>
      </c>
      <c r="D850">
        <v>0</v>
      </c>
      <c r="E850" t="s">
        <v>19</v>
      </c>
      <c r="F850" t="s">
        <v>6</v>
      </c>
      <c r="G850">
        <v>2974.1260000000002</v>
      </c>
      <c r="H850">
        <v>113.1</v>
      </c>
      <c r="I850" t="s">
        <v>0</v>
      </c>
      <c r="J850" t="b">
        <v>0</v>
      </c>
      <c r="K850" t="s">
        <v>14</v>
      </c>
      <c r="L850">
        <v>112288.11</v>
      </c>
      <c r="M850" t="str" cm="1">
        <f t="array" ref="M850">_xlfn.IFS(A850&lt;30,"Young",A850&lt;=50,"Adult",A850&gt;50,"Senior")</f>
        <v>Young</v>
      </c>
    </row>
    <row r="851" spans="1:13" x14ac:dyDescent="0.3">
      <c r="A851">
        <v>55</v>
      </c>
      <c r="B851" t="s">
        <v>12</v>
      </c>
      <c r="C851">
        <v>32.774999999999999</v>
      </c>
      <c r="D851">
        <v>0</v>
      </c>
      <c r="E851" t="s">
        <v>19</v>
      </c>
      <c r="F851" t="s">
        <v>8</v>
      </c>
      <c r="G851">
        <v>10601.632250000001</v>
      </c>
      <c r="H851">
        <v>110.4</v>
      </c>
      <c r="I851" t="s">
        <v>2</v>
      </c>
      <c r="J851" t="b">
        <v>1</v>
      </c>
      <c r="K851" t="s">
        <v>15</v>
      </c>
      <c r="L851">
        <v>123276.71</v>
      </c>
      <c r="M851" t="str" cm="1">
        <f t="array" ref="M851">_xlfn.IFS(A851&lt;30,"Young",A851&lt;=50,"Adult",A851&gt;50,"Senior")</f>
        <v>Senior</v>
      </c>
    </row>
    <row r="852" spans="1:13" x14ac:dyDescent="0.3">
      <c r="A852">
        <v>37</v>
      </c>
      <c r="B852" t="s">
        <v>11</v>
      </c>
      <c r="C852">
        <v>30.78</v>
      </c>
      <c r="D852">
        <v>0</v>
      </c>
      <c r="E852" t="s">
        <v>18</v>
      </c>
      <c r="F852" t="s">
        <v>9</v>
      </c>
      <c r="G852">
        <v>37270.1512</v>
      </c>
      <c r="H852">
        <v>118</v>
      </c>
      <c r="I852" t="s">
        <v>0</v>
      </c>
      <c r="J852" t="b">
        <v>0</v>
      </c>
      <c r="K852" t="s">
        <v>15</v>
      </c>
      <c r="L852">
        <v>148695.51</v>
      </c>
      <c r="M852" t="str" cm="1">
        <f t="array" ref="M852">_xlfn.IFS(A852&lt;30,"Young",A852&lt;=50,"Adult",A852&gt;50,"Senior")</f>
        <v>Adult</v>
      </c>
    </row>
    <row r="853" spans="1:13" x14ac:dyDescent="0.3">
      <c r="A853">
        <v>61</v>
      </c>
      <c r="B853" t="s">
        <v>12</v>
      </c>
      <c r="C853">
        <v>32.299999999999997</v>
      </c>
      <c r="D853">
        <v>2</v>
      </c>
      <c r="E853" t="s">
        <v>19</v>
      </c>
      <c r="F853" t="s">
        <v>8</v>
      </c>
      <c r="G853">
        <v>14119.62</v>
      </c>
      <c r="H853">
        <v>138.9</v>
      </c>
      <c r="I853" t="s">
        <v>3</v>
      </c>
      <c r="J853" t="b">
        <v>0</v>
      </c>
      <c r="K853" t="s">
        <v>15</v>
      </c>
      <c r="L853">
        <v>114603.9</v>
      </c>
      <c r="M853" t="str" cm="1">
        <f t="array" ref="M853">_xlfn.IFS(A853&lt;30,"Young",A853&lt;=50,"Adult",A853&gt;50,"Senior")</f>
        <v>Senior</v>
      </c>
    </row>
    <row r="854" spans="1:13" x14ac:dyDescent="0.3">
      <c r="A854">
        <v>46</v>
      </c>
      <c r="B854" t="s">
        <v>11</v>
      </c>
      <c r="C854">
        <v>35.53</v>
      </c>
      <c r="D854">
        <v>0</v>
      </c>
      <c r="E854" t="s">
        <v>18</v>
      </c>
      <c r="F854" t="s">
        <v>9</v>
      </c>
      <c r="G854">
        <v>42111.664700000001</v>
      </c>
      <c r="H854">
        <v>135.6</v>
      </c>
      <c r="I854" t="s">
        <v>2</v>
      </c>
      <c r="J854" t="b">
        <v>0</v>
      </c>
      <c r="K854" t="s">
        <v>14</v>
      </c>
      <c r="L854">
        <v>188965.85</v>
      </c>
      <c r="M854" t="str" cm="1">
        <f t="array" ref="M854">_xlfn.IFS(A854&lt;30,"Young",A854&lt;=50,"Adult",A854&gt;50,"Senior")</f>
        <v>Adult</v>
      </c>
    </row>
    <row r="855" spans="1:13" x14ac:dyDescent="0.3">
      <c r="A855">
        <v>53</v>
      </c>
      <c r="B855" t="s">
        <v>11</v>
      </c>
      <c r="C855">
        <v>23.75</v>
      </c>
      <c r="D855">
        <v>2</v>
      </c>
      <c r="E855" t="s">
        <v>19</v>
      </c>
      <c r="F855" t="s">
        <v>9</v>
      </c>
      <c r="G855">
        <v>11729.6795</v>
      </c>
      <c r="H855">
        <v>132.5</v>
      </c>
      <c r="I855" t="s">
        <v>1</v>
      </c>
      <c r="J855" t="b">
        <v>1</v>
      </c>
      <c r="K855" t="s">
        <v>15</v>
      </c>
      <c r="L855">
        <v>59052.62</v>
      </c>
      <c r="M855" t="str" cm="1">
        <f t="array" ref="M855">_xlfn.IFS(A855&lt;30,"Young",A855&lt;=50,"Adult",A855&gt;50,"Senior")</f>
        <v>Senior</v>
      </c>
    </row>
    <row r="856" spans="1:13" x14ac:dyDescent="0.3">
      <c r="A856">
        <v>49</v>
      </c>
      <c r="B856" t="s">
        <v>11</v>
      </c>
      <c r="C856">
        <v>23.844999999999999</v>
      </c>
      <c r="D856">
        <v>3</v>
      </c>
      <c r="E856" t="s">
        <v>18</v>
      </c>
      <c r="F856" t="s">
        <v>9</v>
      </c>
      <c r="G856">
        <v>24106.912550000001</v>
      </c>
      <c r="H856">
        <v>130.30000000000001</v>
      </c>
      <c r="I856" t="s">
        <v>2</v>
      </c>
      <c r="J856" t="b">
        <v>0</v>
      </c>
      <c r="K856" t="s">
        <v>15</v>
      </c>
      <c r="L856">
        <v>72981.78</v>
      </c>
      <c r="M856" t="str" cm="1">
        <f t="array" ref="M856">_xlfn.IFS(A856&lt;30,"Young",A856&lt;=50,"Adult",A856&gt;50,"Senior")</f>
        <v>Adult</v>
      </c>
    </row>
    <row r="857" spans="1:13" x14ac:dyDescent="0.3">
      <c r="A857">
        <v>20</v>
      </c>
      <c r="B857" t="s">
        <v>11</v>
      </c>
      <c r="C857">
        <v>29.6</v>
      </c>
      <c r="D857">
        <v>0</v>
      </c>
      <c r="E857" t="s">
        <v>19</v>
      </c>
      <c r="F857" t="s">
        <v>6</v>
      </c>
      <c r="G857">
        <v>1875.3440000000001</v>
      </c>
      <c r="H857">
        <v>116.8</v>
      </c>
      <c r="I857" t="s">
        <v>0</v>
      </c>
      <c r="J857" t="b">
        <v>0</v>
      </c>
      <c r="K857" t="s">
        <v>14</v>
      </c>
      <c r="L857">
        <v>183689.98</v>
      </c>
      <c r="M857" t="str" cm="1">
        <f t="array" ref="M857">_xlfn.IFS(A857&lt;30,"Young",A857&lt;=50,"Adult",A857&gt;50,"Senior")</f>
        <v>Young</v>
      </c>
    </row>
    <row r="858" spans="1:13" x14ac:dyDescent="0.3">
      <c r="A858">
        <v>48</v>
      </c>
      <c r="B858" t="s">
        <v>11</v>
      </c>
      <c r="C858">
        <v>33.11</v>
      </c>
      <c r="D858">
        <v>0</v>
      </c>
      <c r="E858" t="s">
        <v>18</v>
      </c>
      <c r="F858" t="s">
        <v>7</v>
      </c>
      <c r="G858">
        <v>40974.164900000003</v>
      </c>
      <c r="H858">
        <v>125.8</v>
      </c>
      <c r="I858" t="s">
        <v>2</v>
      </c>
      <c r="J858" t="b">
        <v>1</v>
      </c>
      <c r="K858" t="s">
        <v>16</v>
      </c>
      <c r="L858">
        <v>194297.38</v>
      </c>
      <c r="M858" t="str" cm="1">
        <f t="array" ref="M858">_xlfn.IFS(A858&lt;30,"Young",A858&lt;=50,"Adult",A858&gt;50,"Senior")</f>
        <v>Adult</v>
      </c>
    </row>
    <row r="859" spans="1:13" x14ac:dyDescent="0.3">
      <c r="A859">
        <v>25</v>
      </c>
      <c r="B859" t="s">
        <v>12</v>
      </c>
      <c r="C859">
        <v>24.13</v>
      </c>
      <c r="D859">
        <v>0</v>
      </c>
      <c r="E859" t="s">
        <v>18</v>
      </c>
      <c r="F859" t="s">
        <v>8</v>
      </c>
      <c r="G859">
        <v>15817.985699999999</v>
      </c>
      <c r="H859">
        <v>126.8</v>
      </c>
      <c r="I859" t="s">
        <v>1</v>
      </c>
      <c r="J859" t="b">
        <v>0</v>
      </c>
      <c r="K859" t="s">
        <v>14</v>
      </c>
      <c r="L859">
        <v>124047.48</v>
      </c>
      <c r="M859" t="str" cm="1">
        <f t="array" ref="M859">_xlfn.IFS(A859&lt;30,"Young",A859&lt;=50,"Adult",A859&gt;50,"Senior")</f>
        <v>Young</v>
      </c>
    </row>
    <row r="860" spans="1:13" x14ac:dyDescent="0.3">
      <c r="A860">
        <v>25</v>
      </c>
      <c r="B860" t="s">
        <v>11</v>
      </c>
      <c r="C860">
        <v>32.229999999999997</v>
      </c>
      <c r="D860">
        <v>1</v>
      </c>
      <c r="E860" t="s">
        <v>19</v>
      </c>
      <c r="F860" t="s">
        <v>7</v>
      </c>
      <c r="G860">
        <v>18218.161390000001</v>
      </c>
      <c r="H860">
        <v>111.9</v>
      </c>
      <c r="I860" t="s">
        <v>1</v>
      </c>
      <c r="J860" t="b">
        <v>1</v>
      </c>
      <c r="K860" t="s">
        <v>15</v>
      </c>
      <c r="L860">
        <v>103947.64</v>
      </c>
      <c r="M860" t="str" cm="1">
        <f t="array" ref="M860">_xlfn.IFS(A860&lt;30,"Young",A860&lt;=50,"Adult",A860&gt;50,"Senior")</f>
        <v>Young</v>
      </c>
    </row>
    <row r="861" spans="1:13" x14ac:dyDescent="0.3">
      <c r="A861">
        <v>57</v>
      </c>
      <c r="B861" t="s">
        <v>12</v>
      </c>
      <c r="C861">
        <v>28.1</v>
      </c>
      <c r="D861">
        <v>0</v>
      </c>
      <c r="E861" t="s">
        <v>19</v>
      </c>
      <c r="F861" t="s">
        <v>6</v>
      </c>
      <c r="G861">
        <v>10965.446</v>
      </c>
      <c r="H861">
        <v>129.80000000000001</v>
      </c>
      <c r="I861" t="s">
        <v>3</v>
      </c>
      <c r="J861" t="b">
        <v>1</v>
      </c>
      <c r="K861" t="s">
        <v>15</v>
      </c>
      <c r="L861">
        <v>131095.49</v>
      </c>
      <c r="M861" t="str" cm="1">
        <f t="array" ref="M861">_xlfn.IFS(A861&lt;30,"Young",A861&lt;=50,"Adult",A861&gt;50,"Senior")</f>
        <v>Senior</v>
      </c>
    </row>
    <row r="862" spans="1:13" x14ac:dyDescent="0.3">
      <c r="A862">
        <v>37</v>
      </c>
      <c r="B862" t="s">
        <v>11</v>
      </c>
      <c r="C862">
        <v>47.6</v>
      </c>
      <c r="D862">
        <v>2</v>
      </c>
      <c r="E862" t="s">
        <v>18</v>
      </c>
      <c r="F862" t="s">
        <v>6</v>
      </c>
      <c r="G862">
        <v>46113.510999999999</v>
      </c>
      <c r="H862">
        <v>117.3</v>
      </c>
      <c r="I862" t="s">
        <v>2</v>
      </c>
      <c r="J862" t="b">
        <v>1</v>
      </c>
      <c r="K862" t="s">
        <v>14</v>
      </c>
      <c r="L862">
        <v>53733.87</v>
      </c>
      <c r="M862" t="str" cm="1">
        <f t="array" ref="M862">_xlfn.IFS(A862&lt;30,"Young",A862&lt;=50,"Adult",A862&gt;50,"Senior")</f>
        <v>Adult</v>
      </c>
    </row>
    <row r="863" spans="1:13" x14ac:dyDescent="0.3">
      <c r="A863">
        <v>38</v>
      </c>
      <c r="B863" t="s">
        <v>11</v>
      </c>
      <c r="C863">
        <v>28</v>
      </c>
      <c r="D863">
        <v>3</v>
      </c>
      <c r="E863" t="s">
        <v>19</v>
      </c>
      <c r="F863" t="s">
        <v>6</v>
      </c>
      <c r="G863">
        <v>7151.0919999999996</v>
      </c>
      <c r="H863">
        <v>134.1</v>
      </c>
      <c r="I863" t="s">
        <v>0</v>
      </c>
      <c r="J863" t="b">
        <v>1</v>
      </c>
      <c r="K863" t="s">
        <v>14</v>
      </c>
      <c r="L863">
        <v>165777.94</v>
      </c>
      <c r="M863" t="str" cm="1">
        <f t="array" ref="M863">_xlfn.IFS(A863&lt;30,"Young",A863&lt;=50,"Adult",A863&gt;50,"Senior")</f>
        <v>Adult</v>
      </c>
    </row>
    <row r="864" spans="1:13" x14ac:dyDescent="0.3">
      <c r="A864">
        <v>55</v>
      </c>
      <c r="B864" t="s">
        <v>11</v>
      </c>
      <c r="C864">
        <v>33.534999999999997</v>
      </c>
      <c r="D864">
        <v>2</v>
      </c>
      <c r="E864" t="s">
        <v>19</v>
      </c>
      <c r="F864" t="s">
        <v>8</v>
      </c>
      <c r="G864">
        <v>12269.68865</v>
      </c>
      <c r="H864">
        <v>125.4</v>
      </c>
      <c r="I864" t="s">
        <v>2</v>
      </c>
      <c r="J864" t="b">
        <v>1</v>
      </c>
      <c r="K864" t="s">
        <v>16</v>
      </c>
      <c r="L864">
        <v>125403.19</v>
      </c>
      <c r="M864" t="str" cm="1">
        <f t="array" ref="M864">_xlfn.IFS(A864&lt;30,"Young",A864&lt;=50,"Adult",A864&gt;50,"Senior")</f>
        <v>Senior</v>
      </c>
    </row>
    <row r="865" spans="1:13" x14ac:dyDescent="0.3">
      <c r="A865">
        <v>36</v>
      </c>
      <c r="B865" t="s">
        <v>11</v>
      </c>
      <c r="C865">
        <v>19.855</v>
      </c>
      <c r="D865">
        <v>0</v>
      </c>
      <c r="E865" t="s">
        <v>19</v>
      </c>
      <c r="F865" t="s">
        <v>9</v>
      </c>
      <c r="G865">
        <v>5458.0464499999998</v>
      </c>
      <c r="H865">
        <v>113.2</v>
      </c>
      <c r="I865" t="s">
        <v>1</v>
      </c>
      <c r="J865" t="b">
        <v>1</v>
      </c>
      <c r="K865" t="s">
        <v>14</v>
      </c>
      <c r="L865">
        <v>73852.289999999994</v>
      </c>
      <c r="M865" t="str" cm="1">
        <f t="array" ref="M865">_xlfn.IFS(A865&lt;30,"Young",A865&lt;=50,"Adult",A865&gt;50,"Senior")</f>
        <v>Adult</v>
      </c>
    </row>
    <row r="866" spans="1:13" x14ac:dyDescent="0.3">
      <c r="A866">
        <v>51</v>
      </c>
      <c r="B866" t="s">
        <v>12</v>
      </c>
      <c r="C866">
        <v>25.4</v>
      </c>
      <c r="D866">
        <v>0</v>
      </c>
      <c r="E866" t="s">
        <v>19</v>
      </c>
      <c r="F866" t="s">
        <v>6</v>
      </c>
      <c r="G866">
        <v>8782.4689999999991</v>
      </c>
      <c r="H866">
        <v>130.69999999999999</v>
      </c>
      <c r="I866" t="s">
        <v>1</v>
      </c>
      <c r="J866" t="b">
        <v>1</v>
      </c>
      <c r="K866" t="s">
        <v>15</v>
      </c>
      <c r="L866">
        <v>132962.19</v>
      </c>
      <c r="M866" t="str" cm="1">
        <f t="array" ref="M866">_xlfn.IFS(A866&lt;30,"Young",A866&lt;=50,"Adult",A866&gt;50,"Senior")</f>
        <v>Senior</v>
      </c>
    </row>
    <row r="867" spans="1:13" x14ac:dyDescent="0.3">
      <c r="A867">
        <v>40</v>
      </c>
      <c r="B867" t="s">
        <v>12</v>
      </c>
      <c r="C867">
        <v>29.9</v>
      </c>
      <c r="D867">
        <v>2</v>
      </c>
      <c r="E867" t="s">
        <v>19</v>
      </c>
      <c r="F867" t="s">
        <v>6</v>
      </c>
      <c r="G867">
        <v>6600.3609999999999</v>
      </c>
      <c r="H867">
        <v>119.2</v>
      </c>
      <c r="I867" t="s">
        <v>1</v>
      </c>
      <c r="J867" t="b">
        <v>0</v>
      </c>
      <c r="K867" t="s">
        <v>15</v>
      </c>
      <c r="L867">
        <v>192497.43</v>
      </c>
      <c r="M867" t="str" cm="1">
        <f t="array" ref="M867">_xlfn.IFS(A867&lt;30,"Young",A867&lt;=50,"Adult",A867&gt;50,"Senior")</f>
        <v>Adult</v>
      </c>
    </row>
    <row r="868" spans="1:13" x14ac:dyDescent="0.3">
      <c r="A868">
        <v>18</v>
      </c>
      <c r="B868" t="s">
        <v>12</v>
      </c>
      <c r="C868">
        <v>37.29</v>
      </c>
      <c r="D868">
        <v>0</v>
      </c>
      <c r="E868" t="s">
        <v>19</v>
      </c>
      <c r="F868" t="s">
        <v>7</v>
      </c>
      <c r="G868">
        <v>1141.4450999999999</v>
      </c>
      <c r="H868">
        <v>124.6</v>
      </c>
      <c r="I868" t="s">
        <v>2</v>
      </c>
      <c r="J868" t="b">
        <v>1</v>
      </c>
      <c r="K868" t="s">
        <v>15</v>
      </c>
      <c r="L868">
        <v>94748.37</v>
      </c>
      <c r="M868" t="str" cm="1">
        <f t="array" ref="M868">_xlfn.IFS(A868&lt;30,"Young",A868&lt;=50,"Adult",A868&gt;50,"Senior")</f>
        <v>Young</v>
      </c>
    </row>
    <row r="869" spans="1:13" x14ac:dyDescent="0.3">
      <c r="A869">
        <v>57</v>
      </c>
      <c r="B869" t="s">
        <v>12</v>
      </c>
      <c r="C869">
        <v>43.7</v>
      </c>
      <c r="D869">
        <v>1</v>
      </c>
      <c r="E869" t="s">
        <v>19</v>
      </c>
      <c r="F869" t="s">
        <v>6</v>
      </c>
      <c r="G869">
        <v>11576.13</v>
      </c>
      <c r="H869">
        <v>123.2</v>
      </c>
      <c r="I869" t="s">
        <v>1</v>
      </c>
      <c r="J869" t="b">
        <v>0</v>
      </c>
      <c r="K869" t="s">
        <v>14</v>
      </c>
      <c r="L869">
        <v>166221.01</v>
      </c>
      <c r="M869" t="str" cm="1">
        <f t="array" ref="M869">_xlfn.IFS(A869&lt;30,"Young",A869&lt;=50,"Adult",A869&gt;50,"Senior")</f>
        <v>Senior</v>
      </c>
    </row>
    <row r="870" spans="1:13" x14ac:dyDescent="0.3">
      <c r="A870">
        <v>61</v>
      </c>
      <c r="B870" t="s">
        <v>12</v>
      </c>
      <c r="C870">
        <v>23.655000000000001</v>
      </c>
      <c r="D870">
        <v>0</v>
      </c>
      <c r="E870" t="s">
        <v>19</v>
      </c>
      <c r="F870" t="s">
        <v>9</v>
      </c>
      <c r="G870">
        <v>13129.603450000001</v>
      </c>
      <c r="H870">
        <v>120.7</v>
      </c>
      <c r="I870" t="s">
        <v>2</v>
      </c>
      <c r="J870" t="b">
        <v>0</v>
      </c>
      <c r="K870" t="s">
        <v>14</v>
      </c>
      <c r="L870">
        <v>32932.160000000003</v>
      </c>
      <c r="M870" t="str" cm="1">
        <f t="array" ref="M870">_xlfn.IFS(A870&lt;30,"Young",A870&lt;=50,"Adult",A870&gt;50,"Senior")</f>
        <v>Senior</v>
      </c>
    </row>
    <row r="871" spans="1:13" x14ac:dyDescent="0.3">
      <c r="A871">
        <v>25</v>
      </c>
      <c r="B871" t="s">
        <v>11</v>
      </c>
      <c r="C871">
        <v>24.3</v>
      </c>
      <c r="D871">
        <v>3</v>
      </c>
      <c r="E871" t="s">
        <v>19</v>
      </c>
      <c r="F871" t="s">
        <v>6</v>
      </c>
      <c r="G871">
        <v>4391.652</v>
      </c>
      <c r="H871">
        <v>114.5</v>
      </c>
      <c r="I871" t="s">
        <v>1</v>
      </c>
      <c r="J871" t="b">
        <v>0</v>
      </c>
      <c r="K871" t="s">
        <v>14</v>
      </c>
      <c r="L871">
        <v>174343.25</v>
      </c>
      <c r="M871" t="str" cm="1">
        <f t="array" ref="M871">_xlfn.IFS(A871&lt;30,"Young",A871&lt;=50,"Adult",A871&gt;50,"Senior")</f>
        <v>Young</v>
      </c>
    </row>
    <row r="872" spans="1:13" x14ac:dyDescent="0.3">
      <c r="A872">
        <v>50</v>
      </c>
      <c r="B872" t="s">
        <v>12</v>
      </c>
      <c r="C872">
        <v>36.200000000000003</v>
      </c>
      <c r="D872">
        <v>0</v>
      </c>
      <c r="E872" t="s">
        <v>19</v>
      </c>
      <c r="F872" t="s">
        <v>6</v>
      </c>
      <c r="G872">
        <v>8457.8179999999993</v>
      </c>
      <c r="H872">
        <v>115.6</v>
      </c>
      <c r="I872" t="s">
        <v>0</v>
      </c>
      <c r="J872" t="b">
        <v>1</v>
      </c>
      <c r="K872" t="s">
        <v>14</v>
      </c>
      <c r="L872">
        <v>141712.43</v>
      </c>
      <c r="M872" t="str" cm="1">
        <f t="array" ref="M872">_xlfn.IFS(A872&lt;30,"Young",A872&lt;=50,"Adult",A872&gt;50,"Senior")</f>
        <v>Adult</v>
      </c>
    </row>
    <row r="873" spans="1:13" x14ac:dyDescent="0.3">
      <c r="A873">
        <v>26</v>
      </c>
      <c r="B873" t="s">
        <v>11</v>
      </c>
      <c r="C873">
        <v>29.48</v>
      </c>
      <c r="D873">
        <v>1</v>
      </c>
      <c r="E873" t="s">
        <v>19</v>
      </c>
      <c r="F873" t="s">
        <v>7</v>
      </c>
      <c r="G873">
        <v>3392.3652000000002</v>
      </c>
      <c r="H873">
        <v>129</v>
      </c>
      <c r="I873" t="s">
        <v>1</v>
      </c>
      <c r="J873" t="b">
        <v>1</v>
      </c>
      <c r="K873" t="s">
        <v>15</v>
      </c>
      <c r="L873">
        <v>82991.08</v>
      </c>
      <c r="M873" t="str" cm="1">
        <f t="array" ref="M873">_xlfn.IFS(A873&lt;30,"Young",A873&lt;=50,"Adult",A873&gt;50,"Senior")</f>
        <v>Young</v>
      </c>
    </row>
    <row r="874" spans="1:13" x14ac:dyDescent="0.3">
      <c r="A874">
        <v>42</v>
      </c>
      <c r="B874" t="s">
        <v>12</v>
      </c>
      <c r="C874">
        <v>24.86</v>
      </c>
      <c r="D874">
        <v>0</v>
      </c>
      <c r="E874" t="s">
        <v>19</v>
      </c>
      <c r="F874" t="s">
        <v>7</v>
      </c>
      <c r="G874">
        <v>5966.8873999999996</v>
      </c>
      <c r="H874">
        <v>118.3</v>
      </c>
      <c r="I874" t="s">
        <v>1</v>
      </c>
      <c r="J874" t="b">
        <v>0</v>
      </c>
      <c r="K874" t="s">
        <v>15</v>
      </c>
      <c r="L874">
        <v>147283.63</v>
      </c>
      <c r="M874" t="str" cm="1">
        <f t="array" ref="M874">_xlfn.IFS(A874&lt;30,"Young",A874&lt;=50,"Adult",A874&gt;50,"Senior")</f>
        <v>Adult</v>
      </c>
    </row>
    <row r="875" spans="1:13" x14ac:dyDescent="0.3">
      <c r="A875">
        <v>43</v>
      </c>
      <c r="B875" t="s">
        <v>12</v>
      </c>
      <c r="C875">
        <v>30.1</v>
      </c>
      <c r="D875">
        <v>1</v>
      </c>
      <c r="E875" t="s">
        <v>19</v>
      </c>
      <c r="F875" t="s">
        <v>6</v>
      </c>
      <c r="G875">
        <v>6849.0259999999998</v>
      </c>
      <c r="H875">
        <v>136.80000000000001</v>
      </c>
      <c r="I875" t="s">
        <v>3</v>
      </c>
      <c r="J875" t="b">
        <v>1</v>
      </c>
      <c r="K875" t="s">
        <v>15</v>
      </c>
      <c r="L875">
        <v>58946.84</v>
      </c>
      <c r="M875" t="str" cm="1">
        <f t="array" ref="M875">_xlfn.IFS(A875&lt;30,"Young",A875&lt;=50,"Adult",A875&gt;50,"Senior")</f>
        <v>Adult</v>
      </c>
    </row>
    <row r="876" spans="1:13" x14ac:dyDescent="0.3">
      <c r="A876">
        <v>44</v>
      </c>
      <c r="B876" t="s">
        <v>12</v>
      </c>
      <c r="C876">
        <v>21.85</v>
      </c>
      <c r="D876">
        <v>3</v>
      </c>
      <c r="E876" t="s">
        <v>19</v>
      </c>
      <c r="F876" t="s">
        <v>9</v>
      </c>
      <c r="G876">
        <v>8891.1394999999993</v>
      </c>
      <c r="H876">
        <v>136</v>
      </c>
      <c r="I876" t="s">
        <v>0</v>
      </c>
      <c r="J876" t="b">
        <v>0</v>
      </c>
      <c r="K876" t="s">
        <v>16</v>
      </c>
      <c r="L876">
        <v>77477.61</v>
      </c>
      <c r="M876" t="str" cm="1">
        <f t="array" ref="M876">_xlfn.IFS(A876&lt;30,"Young",A876&lt;=50,"Adult",A876&gt;50,"Senior")</f>
        <v>Adult</v>
      </c>
    </row>
    <row r="877" spans="1:13" x14ac:dyDescent="0.3">
      <c r="A877">
        <v>23</v>
      </c>
      <c r="B877" t="s">
        <v>11</v>
      </c>
      <c r="C877">
        <v>28.12</v>
      </c>
      <c r="D877">
        <v>0</v>
      </c>
      <c r="E877" t="s">
        <v>19</v>
      </c>
      <c r="F877" t="s">
        <v>8</v>
      </c>
      <c r="G877">
        <v>2690.1138000000001</v>
      </c>
      <c r="H877">
        <v>124.8</v>
      </c>
      <c r="I877" t="s">
        <v>1</v>
      </c>
      <c r="J877" t="b">
        <v>0</v>
      </c>
      <c r="K877" t="s">
        <v>14</v>
      </c>
      <c r="L877">
        <v>74513.63</v>
      </c>
      <c r="M877" t="str" cm="1">
        <f t="array" ref="M877">_xlfn.IFS(A877&lt;30,"Young",A877&lt;=50,"Adult",A877&gt;50,"Senior")</f>
        <v>Young</v>
      </c>
    </row>
    <row r="878" spans="1:13" x14ac:dyDescent="0.3">
      <c r="A878">
        <v>49</v>
      </c>
      <c r="B878" t="s">
        <v>11</v>
      </c>
      <c r="C878">
        <v>27.1</v>
      </c>
      <c r="D878">
        <v>1</v>
      </c>
      <c r="E878" t="s">
        <v>19</v>
      </c>
      <c r="F878" t="s">
        <v>6</v>
      </c>
      <c r="G878">
        <v>26140.3603</v>
      </c>
      <c r="H878">
        <v>123.2</v>
      </c>
      <c r="I878" t="s">
        <v>2</v>
      </c>
      <c r="J878" t="b">
        <v>0</v>
      </c>
      <c r="K878" t="s">
        <v>14</v>
      </c>
      <c r="L878">
        <v>186066.83</v>
      </c>
      <c r="M878" t="str" cm="1">
        <f t="array" ref="M878">_xlfn.IFS(A878&lt;30,"Young",A878&lt;=50,"Adult",A878&gt;50,"Senior")</f>
        <v>Adult</v>
      </c>
    </row>
    <row r="879" spans="1:13" x14ac:dyDescent="0.3">
      <c r="A879">
        <v>33</v>
      </c>
      <c r="B879" t="s">
        <v>12</v>
      </c>
      <c r="C879">
        <v>33.44</v>
      </c>
      <c r="D879">
        <v>5</v>
      </c>
      <c r="E879" t="s">
        <v>19</v>
      </c>
      <c r="F879" t="s">
        <v>7</v>
      </c>
      <c r="G879">
        <v>6653.7885999999999</v>
      </c>
      <c r="H879">
        <v>111.6</v>
      </c>
      <c r="I879" t="s">
        <v>2</v>
      </c>
      <c r="J879" t="b">
        <v>0</v>
      </c>
      <c r="K879" t="s">
        <v>15</v>
      </c>
      <c r="L879">
        <v>186944.88</v>
      </c>
      <c r="M879" t="str" cm="1">
        <f t="array" ref="M879">_xlfn.IFS(A879&lt;30,"Young",A879&lt;=50,"Adult",A879&gt;50,"Senior")</f>
        <v>Adult</v>
      </c>
    </row>
    <row r="880" spans="1:13" x14ac:dyDescent="0.3">
      <c r="A880">
        <v>41</v>
      </c>
      <c r="B880" t="s">
        <v>12</v>
      </c>
      <c r="C880">
        <v>28.8</v>
      </c>
      <c r="D880">
        <v>1</v>
      </c>
      <c r="E880" t="s">
        <v>19</v>
      </c>
      <c r="F880" t="s">
        <v>6</v>
      </c>
      <c r="G880">
        <v>6282.2349999999997</v>
      </c>
      <c r="H880">
        <v>120.4</v>
      </c>
      <c r="I880" t="s">
        <v>2</v>
      </c>
      <c r="J880" t="b">
        <v>0</v>
      </c>
      <c r="K880" t="s">
        <v>16</v>
      </c>
      <c r="L880">
        <v>51056.800000000003</v>
      </c>
      <c r="M880" t="str" cm="1">
        <f t="array" ref="M880">_xlfn.IFS(A880&lt;30,"Young",A880&lt;=50,"Adult",A880&gt;50,"Senior")</f>
        <v>Adult</v>
      </c>
    </row>
    <row r="881" spans="1:13" x14ac:dyDescent="0.3">
      <c r="A881">
        <v>37</v>
      </c>
      <c r="B881" t="s">
        <v>11</v>
      </c>
      <c r="C881">
        <v>29.5</v>
      </c>
      <c r="D881">
        <v>2</v>
      </c>
      <c r="E881" t="s">
        <v>19</v>
      </c>
      <c r="F881" t="s">
        <v>6</v>
      </c>
      <c r="G881">
        <v>6311.9520000000002</v>
      </c>
      <c r="H881">
        <v>135.80000000000001</v>
      </c>
      <c r="I881" t="s">
        <v>1</v>
      </c>
      <c r="J881" t="b">
        <v>0</v>
      </c>
      <c r="K881" t="s">
        <v>14</v>
      </c>
      <c r="L881">
        <v>120367.76</v>
      </c>
      <c r="M881" t="str" cm="1">
        <f t="array" ref="M881">_xlfn.IFS(A881&lt;30,"Young",A881&lt;=50,"Adult",A881&gt;50,"Senior")</f>
        <v>Adult</v>
      </c>
    </row>
    <row r="882" spans="1:13" x14ac:dyDescent="0.3">
      <c r="A882">
        <v>22</v>
      </c>
      <c r="B882" t="s">
        <v>12</v>
      </c>
      <c r="C882">
        <v>34.799999999999997</v>
      </c>
      <c r="D882">
        <v>3</v>
      </c>
      <c r="E882" t="s">
        <v>19</v>
      </c>
      <c r="F882" t="s">
        <v>6</v>
      </c>
      <c r="G882">
        <v>3443.0639999999999</v>
      </c>
      <c r="H882">
        <v>120.2</v>
      </c>
      <c r="I882" t="s">
        <v>2</v>
      </c>
      <c r="J882" t="b">
        <v>0</v>
      </c>
      <c r="K882" t="s">
        <v>14</v>
      </c>
      <c r="L882">
        <v>78666.2</v>
      </c>
      <c r="M882" t="str" cm="1">
        <f t="array" ref="M882">_xlfn.IFS(A882&lt;30,"Young",A882&lt;=50,"Adult",A882&gt;50,"Senior")</f>
        <v>Young</v>
      </c>
    </row>
    <row r="883" spans="1:13" x14ac:dyDescent="0.3">
      <c r="A883">
        <v>23</v>
      </c>
      <c r="B883" t="s">
        <v>12</v>
      </c>
      <c r="C883">
        <v>27.36</v>
      </c>
      <c r="D883">
        <v>1</v>
      </c>
      <c r="E883" t="s">
        <v>19</v>
      </c>
      <c r="F883" t="s">
        <v>8</v>
      </c>
      <c r="G883">
        <v>2789.0574000000001</v>
      </c>
      <c r="H883">
        <v>113.8</v>
      </c>
      <c r="I883" t="s">
        <v>3</v>
      </c>
      <c r="J883" t="b">
        <v>0</v>
      </c>
      <c r="K883" t="s">
        <v>16</v>
      </c>
      <c r="L883">
        <v>50037.86</v>
      </c>
      <c r="M883" t="str" cm="1">
        <f t="array" ref="M883">_xlfn.IFS(A883&lt;30,"Young",A883&lt;=50,"Adult",A883&gt;50,"Senior")</f>
        <v>Young</v>
      </c>
    </row>
    <row r="884" spans="1:13" x14ac:dyDescent="0.3">
      <c r="A884">
        <v>21</v>
      </c>
      <c r="B884" t="s">
        <v>11</v>
      </c>
      <c r="C884">
        <v>22.135000000000002</v>
      </c>
      <c r="D884">
        <v>0</v>
      </c>
      <c r="E884" t="s">
        <v>19</v>
      </c>
      <c r="F884" t="s">
        <v>9</v>
      </c>
      <c r="G884">
        <v>2585.8506499999999</v>
      </c>
      <c r="H884">
        <v>123.5</v>
      </c>
      <c r="I884" t="s">
        <v>3</v>
      </c>
      <c r="J884" t="b">
        <v>1</v>
      </c>
      <c r="K884" t="s">
        <v>16</v>
      </c>
      <c r="L884">
        <v>147214.63</v>
      </c>
      <c r="M884" t="str" cm="1">
        <f t="array" ref="M884">_xlfn.IFS(A884&lt;30,"Young",A884&lt;=50,"Adult",A884&gt;50,"Senior")</f>
        <v>Young</v>
      </c>
    </row>
    <row r="885" spans="1:13" x14ac:dyDescent="0.3">
      <c r="A885">
        <v>51</v>
      </c>
      <c r="B885" t="s">
        <v>11</v>
      </c>
      <c r="C885">
        <v>37.049999999999997</v>
      </c>
      <c r="D885">
        <v>3</v>
      </c>
      <c r="E885" t="s">
        <v>18</v>
      </c>
      <c r="F885" t="s">
        <v>9</v>
      </c>
      <c r="G885">
        <v>46255.112500000003</v>
      </c>
      <c r="H885">
        <v>137.6</v>
      </c>
      <c r="I885" t="s">
        <v>0</v>
      </c>
      <c r="J885" t="b">
        <v>0</v>
      </c>
      <c r="K885" t="s">
        <v>14</v>
      </c>
      <c r="L885">
        <v>182249.79</v>
      </c>
      <c r="M885" t="str" cm="1">
        <f t="array" ref="M885">_xlfn.IFS(A885&lt;30,"Young",A885&lt;=50,"Adult",A885&gt;50,"Senior")</f>
        <v>Senior</v>
      </c>
    </row>
    <row r="886" spans="1:13" x14ac:dyDescent="0.3">
      <c r="A886">
        <v>25</v>
      </c>
      <c r="B886" t="s">
        <v>12</v>
      </c>
      <c r="C886">
        <v>26.695</v>
      </c>
      <c r="D886">
        <v>4</v>
      </c>
      <c r="E886" t="s">
        <v>19</v>
      </c>
      <c r="F886" t="s">
        <v>8</v>
      </c>
      <c r="G886">
        <v>4877.9810500000003</v>
      </c>
      <c r="H886">
        <v>139.6</v>
      </c>
      <c r="I886" t="s">
        <v>0</v>
      </c>
      <c r="J886" t="b">
        <v>0</v>
      </c>
      <c r="K886" t="s">
        <v>14</v>
      </c>
      <c r="L886">
        <v>145704.82</v>
      </c>
      <c r="M886" t="str" cm="1">
        <f t="array" ref="M886">_xlfn.IFS(A886&lt;30,"Young",A886&lt;=50,"Adult",A886&gt;50,"Senior")</f>
        <v>Young</v>
      </c>
    </row>
    <row r="887" spans="1:13" x14ac:dyDescent="0.3">
      <c r="A887">
        <v>32</v>
      </c>
      <c r="B887" t="s">
        <v>12</v>
      </c>
      <c r="C887">
        <v>28.93</v>
      </c>
      <c r="D887">
        <v>1</v>
      </c>
      <c r="E887" t="s">
        <v>18</v>
      </c>
      <c r="F887" t="s">
        <v>7</v>
      </c>
      <c r="G887">
        <v>19719.6947</v>
      </c>
      <c r="H887">
        <v>139.19999999999999</v>
      </c>
      <c r="I887" t="s">
        <v>3</v>
      </c>
      <c r="J887" t="b">
        <v>0</v>
      </c>
      <c r="K887" t="s">
        <v>15</v>
      </c>
      <c r="L887">
        <v>35477.51</v>
      </c>
      <c r="M887" t="str" cm="1">
        <f t="array" ref="M887">_xlfn.IFS(A887&lt;30,"Young",A887&lt;=50,"Adult",A887&gt;50,"Senior")</f>
        <v>Adult</v>
      </c>
    </row>
    <row r="888" spans="1:13" x14ac:dyDescent="0.3">
      <c r="A888">
        <v>57</v>
      </c>
      <c r="B888" t="s">
        <v>12</v>
      </c>
      <c r="C888">
        <v>28.975000000000001</v>
      </c>
      <c r="D888">
        <v>0</v>
      </c>
      <c r="E888" t="s">
        <v>18</v>
      </c>
      <c r="F888" t="s">
        <v>9</v>
      </c>
      <c r="G888">
        <v>27218.437249999999</v>
      </c>
      <c r="H888">
        <v>128.9</v>
      </c>
      <c r="I888" t="s">
        <v>3</v>
      </c>
      <c r="J888" t="b">
        <v>1</v>
      </c>
      <c r="K888" t="s">
        <v>15</v>
      </c>
      <c r="L888">
        <v>145174.65</v>
      </c>
      <c r="M888" t="str" cm="1">
        <f t="array" ref="M888">_xlfn.IFS(A888&lt;30,"Young",A888&lt;=50,"Adult",A888&gt;50,"Senior")</f>
        <v>Senior</v>
      </c>
    </row>
    <row r="889" spans="1:13" x14ac:dyDescent="0.3">
      <c r="A889">
        <v>36</v>
      </c>
      <c r="B889" t="s">
        <v>11</v>
      </c>
      <c r="C889">
        <v>30.02</v>
      </c>
      <c r="D889">
        <v>0</v>
      </c>
      <c r="E889" t="s">
        <v>19</v>
      </c>
      <c r="F889" t="s">
        <v>8</v>
      </c>
      <c r="G889">
        <v>5272.1758</v>
      </c>
      <c r="H889">
        <v>139.9</v>
      </c>
      <c r="I889" t="s">
        <v>0</v>
      </c>
      <c r="J889" t="b">
        <v>0</v>
      </c>
      <c r="K889" t="s">
        <v>16</v>
      </c>
      <c r="L889">
        <v>176634.57</v>
      </c>
      <c r="M889" t="str" cm="1">
        <f t="array" ref="M889">_xlfn.IFS(A889&lt;30,"Young",A889&lt;=50,"Adult",A889&gt;50,"Senior")</f>
        <v>Adult</v>
      </c>
    </row>
    <row r="890" spans="1:13" x14ac:dyDescent="0.3">
      <c r="A890">
        <v>22</v>
      </c>
      <c r="B890" t="s">
        <v>12</v>
      </c>
      <c r="C890">
        <v>39.5</v>
      </c>
      <c r="D890">
        <v>0</v>
      </c>
      <c r="E890" t="s">
        <v>19</v>
      </c>
      <c r="F890" t="s">
        <v>6</v>
      </c>
      <c r="G890">
        <v>1682.597</v>
      </c>
      <c r="H890">
        <v>139.5</v>
      </c>
      <c r="I890" t="s">
        <v>0</v>
      </c>
      <c r="J890" t="b">
        <v>1</v>
      </c>
      <c r="K890" t="s">
        <v>14</v>
      </c>
      <c r="L890">
        <v>119305.7</v>
      </c>
      <c r="M890" t="str" cm="1">
        <f t="array" ref="M890">_xlfn.IFS(A890&lt;30,"Young",A890&lt;=50,"Adult",A890&gt;50,"Senior")</f>
        <v>Young</v>
      </c>
    </row>
    <row r="891" spans="1:13" x14ac:dyDescent="0.3">
      <c r="A891">
        <v>57</v>
      </c>
      <c r="B891" t="s">
        <v>12</v>
      </c>
      <c r="C891">
        <v>33.630000000000003</v>
      </c>
      <c r="D891">
        <v>1</v>
      </c>
      <c r="E891" t="s">
        <v>19</v>
      </c>
      <c r="F891" t="s">
        <v>8</v>
      </c>
      <c r="G891">
        <v>11945.1327</v>
      </c>
      <c r="H891">
        <v>114.6</v>
      </c>
      <c r="I891" t="s">
        <v>0</v>
      </c>
      <c r="J891" t="b">
        <v>1</v>
      </c>
      <c r="K891" t="s">
        <v>15</v>
      </c>
      <c r="L891">
        <v>186012.48</v>
      </c>
      <c r="M891" t="str" cm="1">
        <f t="array" ref="M891">_xlfn.IFS(A891&lt;30,"Young",A891&lt;=50,"Adult",A891&gt;50,"Senior")</f>
        <v>Senior</v>
      </c>
    </row>
    <row r="892" spans="1:13" x14ac:dyDescent="0.3">
      <c r="A892">
        <v>64</v>
      </c>
      <c r="B892" t="s">
        <v>11</v>
      </c>
      <c r="C892">
        <v>26.885000000000002</v>
      </c>
      <c r="D892">
        <v>0</v>
      </c>
      <c r="E892" t="s">
        <v>18</v>
      </c>
      <c r="F892" t="s">
        <v>8</v>
      </c>
      <c r="G892">
        <v>29330.98315</v>
      </c>
      <c r="H892">
        <v>111.5</v>
      </c>
      <c r="I892" t="s">
        <v>2</v>
      </c>
      <c r="J892" t="b">
        <v>0</v>
      </c>
      <c r="K892" t="s">
        <v>15</v>
      </c>
      <c r="L892">
        <v>190690.01</v>
      </c>
      <c r="M892" t="str" cm="1">
        <f t="array" ref="M892">_xlfn.IFS(A892&lt;30,"Young",A892&lt;=50,"Adult",A892&gt;50,"Senior")</f>
        <v>Senior</v>
      </c>
    </row>
    <row r="893" spans="1:13" x14ac:dyDescent="0.3">
      <c r="A893">
        <v>36</v>
      </c>
      <c r="B893" t="s">
        <v>11</v>
      </c>
      <c r="C893">
        <v>29.04</v>
      </c>
      <c r="D893">
        <v>4</v>
      </c>
      <c r="E893" t="s">
        <v>19</v>
      </c>
      <c r="F893" t="s">
        <v>7</v>
      </c>
      <c r="G893">
        <v>7243.8136000000004</v>
      </c>
      <c r="H893">
        <v>135.9</v>
      </c>
      <c r="I893" t="s">
        <v>0</v>
      </c>
      <c r="J893" t="b">
        <v>1</v>
      </c>
      <c r="K893" t="s">
        <v>15</v>
      </c>
      <c r="L893">
        <v>36603.32</v>
      </c>
      <c r="M893" t="str" cm="1">
        <f t="array" ref="M893">_xlfn.IFS(A893&lt;30,"Young",A893&lt;=50,"Adult",A893&gt;50,"Senior")</f>
        <v>Adult</v>
      </c>
    </row>
    <row r="894" spans="1:13" x14ac:dyDescent="0.3">
      <c r="A894">
        <v>54</v>
      </c>
      <c r="B894" t="s">
        <v>12</v>
      </c>
      <c r="C894">
        <v>24.035</v>
      </c>
      <c r="D894">
        <v>0</v>
      </c>
      <c r="E894" t="s">
        <v>19</v>
      </c>
      <c r="F894" t="s">
        <v>9</v>
      </c>
      <c r="G894">
        <v>10422.916649999999</v>
      </c>
      <c r="H894">
        <v>116.7</v>
      </c>
      <c r="I894" t="s">
        <v>1</v>
      </c>
      <c r="J894" t="b">
        <v>0</v>
      </c>
      <c r="K894" t="s">
        <v>16</v>
      </c>
      <c r="L894">
        <v>154902.25</v>
      </c>
      <c r="M894" t="str" cm="1">
        <f t="array" ref="M894">_xlfn.IFS(A894&lt;30,"Young",A894&lt;=50,"Adult",A894&gt;50,"Senior")</f>
        <v>Senior</v>
      </c>
    </row>
    <row r="895" spans="1:13" x14ac:dyDescent="0.3">
      <c r="A895">
        <v>47</v>
      </c>
      <c r="B895" t="s">
        <v>12</v>
      </c>
      <c r="C895">
        <v>38.94</v>
      </c>
      <c r="D895">
        <v>2</v>
      </c>
      <c r="E895" t="s">
        <v>18</v>
      </c>
      <c r="F895" t="s">
        <v>7</v>
      </c>
      <c r="G895">
        <v>44202.653599999998</v>
      </c>
      <c r="H895">
        <v>122.2</v>
      </c>
      <c r="I895" t="s">
        <v>2</v>
      </c>
      <c r="J895" t="b">
        <v>0</v>
      </c>
      <c r="K895" t="s">
        <v>15</v>
      </c>
      <c r="L895">
        <v>116133.98</v>
      </c>
      <c r="M895" t="str" cm="1">
        <f t="array" ref="M895">_xlfn.IFS(A895&lt;30,"Young",A895&lt;=50,"Adult",A895&gt;50,"Senior")</f>
        <v>Adult</v>
      </c>
    </row>
    <row r="896" spans="1:13" x14ac:dyDescent="0.3">
      <c r="A896">
        <v>62</v>
      </c>
      <c r="B896" t="s">
        <v>12</v>
      </c>
      <c r="C896">
        <v>32.11</v>
      </c>
      <c r="D896">
        <v>0</v>
      </c>
      <c r="E896" t="s">
        <v>19</v>
      </c>
      <c r="F896" t="s">
        <v>9</v>
      </c>
      <c r="G896">
        <v>13555.0049</v>
      </c>
      <c r="H896">
        <v>118.7</v>
      </c>
      <c r="I896" t="s">
        <v>2</v>
      </c>
      <c r="J896" t="b">
        <v>1</v>
      </c>
      <c r="K896" t="s">
        <v>15</v>
      </c>
      <c r="L896">
        <v>62485.13</v>
      </c>
      <c r="M896" t="str" cm="1">
        <f t="array" ref="M896">_xlfn.IFS(A896&lt;30,"Young",A896&lt;=50,"Adult",A896&gt;50,"Senior")</f>
        <v>Senior</v>
      </c>
    </row>
    <row r="897" spans="1:13" x14ac:dyDescent="0.3">
      <c r="A897">
        <v>61</v>
      </c>
      <c r="B897" t="s">
        <v>11</v>
      </c>
      <c r="C897">
        <v>44</v>
      </c>
      <c r="D897">
        <v>0</v>
      </c>
      <c r="E897" t="s">
        <v>19</v>
      </c>
      <c r="F897" t="s">
        <v>6</v>
      </c>
      <c r="G897">
        <v>13063.883</v>
      </c>
      <c r="H897">
        <v>121.7</v>
      </c>
      <c r="I897" t="s">
        <v>1</v>
      </c>
      <c r="J897" t="b">
        <v>0</v>
      </c>
      <c r="K897" t="s">
        <v>15</v>
      </c>
      <c r="L897">
        <v>76848.100000000006</v>
      </c>
      <c r="M897" t="str" cm="1">
        <f t="array" ref="M897">_xlfn.IFS(A897&lt;30,"Young",A897&lt;=50,"Adult",A897&gt;50,"Senior")</f>
        <v>Senior</v>
      </c>
    </row>
    <row r="898" spans="1:13" x14ac:dyDescent="0.3">
      <c r="A898">
        <v>43</v>
      </c>
      <c r="B898" t="s">
        <v>11</v>
      </c>
      <c r="C898">
        <v>20.045000000000002</v>
      </c>
      <c r="D898">
        <v>2</v>
      </c>
      <c r="E898" t="s">
        <v>18</v>
      </c>
      <c r="F898" t="s">
        <v>9</v>
      </c>
      <c r="G898">
        <v>19798.054550000001</v>
      </c>
      <c r="H898">
        <v>125.5</v>
      </c>
      <c r="I898" t="s">
        <v>2</v>
      </c>
      <c r="J898" t="b">
        <v>1</v>
      </c>
      <c r="K898" t="s">
        <v>15</v>
      </c>
      <c r="L898">
        <v>63629.3</v>
      </c>
      <c r="M898" t="str" cm="1">
        <f t="array" ref="M898">_xlfn.IFS(A898&lt;30,"Young",A898&lt;=50,"Adult",A898&gt;50,"Senior")</f>
        <v>Adult</v>
      </c>
    </row>
    <row r="899" spans="1:13" x14ac:dyDescent="0.3">
      <c r="A899">
        <v>19</v>
      </c>
      <c r="B899" t="s">
        <v>12</v>
      </c>
      <c r="C899">
        <v>25.555</v>
      </c>
      <c r="D899">
        <v>1</v>
      </c>
      <c r="E899" t="s">
        <v>19</v>
      </c>
      <c r="F899" t="s">
        <v>8</v>
      </c>
      <c r="G899">
        <v>2221.5644499999999</v>
      </c>
      <c r="H899">
        <v>138.30000000000001</v>
      </c>
      <c r="I899" t="s">
        <v>2</v>
      </c>
      <c r="J899" t="b">
        <v>0</v>
      </c>
      <c r="K899" t="s">
        <v>15</v>
      </c>
      <c r="L899">
        <v>69626.5</v>
      </c>
      <c r="M899" t="str" cm="1">
        <f t="array" ref="M899">_xlfn.IFS(A899&lt;30,"Young",A899&lt;=50,"Adult",A899&gt;50,"Senior")</f>
        <v>Young</v>
      </c>
    </row>
    <row r="900" spans="1:13" x14ac:dyDescent="0.3">
      <c r="A900">
        <v>18</v>
      </c>
      <c r="B900" t="s">
        <v>11</v>
      </c>
      <c r="C900">
        <v>40.26</v>
      </c>
      <c r="D900">
        <v>0</v>
      </c>
      <c r="E900" t="s">
        <v>19</v>
      </c>
      <c r="F900" t="s">
        <v>7</v>
      </c>
      <c r="G900">
        <v>1634.5734</v>
      </c>
      <c r="H900">
        <v>127.4</v>
      </c>
      <c r="I900" t="s">
        <v>1</v>
      </c>
      <c r="J900" t="b">
        <v>1</v>
      </c>
      <c r="K900" t="s">
        <v>16</v>
      </c>
      <c r="L900">
        <v>195666.45</v>
      </c>
      <c r="M900" t="str" cm="1">
        <f t="array" ref="M900">_xlfn.IFS(A900&lt;30,"Young",A900&lt;=50,"Adult",A900&gt;50,"Senior")</f>
        <v>Young</v>
      </c>
    </row>
    <row r="901" spans="1:13" x14ac:dyDescent="0.3">
      <c r="A901">
        <v>19</v>
      </c>
      <c r="B901" t="s">
        <v>11</v>
      </c>
      <c r="C901">
        <v>22.515000000000001</v>
      </c>
      <c r="D901">
        <v>0</v>
      </c>
      <c r="E901" t="s">
        <v>19</v>
      </c>
      <c r="F901" t="s">
        <v>8</v>
      </c>
      <c r="G901">
        <v>2117.3388500000001</v>
      </c>
      <c r="H901">
        <v>117.6</v>
      </c>
      <c r="I901" t="s">
        <v>2</v>
      </c>
      <c r="J901" t="b">
        <v>1</v>
      </c>
      <c r="K901" t="s">
        <v>16</v>
      </c>
      <c r="L901">
        <v>128967.37</v>
      </c>
      <c r="M901" t="str" cm="1">
        <f t="array" ref="M901">_xlfn.IFS(A901&lt;30,"Young",A901&lt;=50,"Adult",A901&gt;50,"Senior")</f>
        <v>Young</v>
      </c>
    </row>
    <row r="902" spans="1:13" x14ac:dyDescent="0.3">
      <c r="A902">
        <v>49</v>
      </c>
      <c r="B902" t="s">
        <v>12</v>
      </c>
      <c r="C902">
        <v>22.515000000000001</v>
      </c>
      <c r="D902">
        <v>0</v>
      </c>
      <c r="E902" t="s">
        <v>19</v>
      </c>
      <c r="F902" t="s">
        <v>9</v>
      </c>
      <c r="G902">
        <v>8688.8588500000005</v>
      </c>
      <c r="H902">
        <v>120</v>
      </c>
      <c r="I902" t="s">
        <v>1</v>
      </c>
      <c r="J902" t="b">
        <v>1</v>
      </c>
      <c r="K902" t="s">
        <v>14</v>
      </c>
      <c r="L902">
        <v>163959.94</v>
      </c>
      <c r="M902" t="str" cm="1">
        <f t="array" ref="M902">_xlfn.IFS(A902&lt;30,"Young",A902&lt;=50,"Adult",A902&gt;50,"Senior")</f>
        <v>Adult</v>
      </c>
    </row>
    <row r="903" spans="1:13" x14ac:dyDescent="0.3">
      <c r="A903">
        <v>60</v>
      </c>
      <c r="B903" t="s">
        <v>12</v>
      </c>
      <c r="C903">
        <v>40.92</v>
      </c>
      <c r="D903">
        <v>0</v>
      </c>
      <c r="E903" t="s">
        <v>18</v>
      </c>
      <c r="F903" t="s">
        <v>7</v>
      </c>
      <c r="G903">
        <v>48673.558799999999</v>
      </c>
      <c r="H903">
        <v>116.9</v>
      </c>
      <c r="I903" t="s">
        <v>1</v>
      </c>
      <c r="J903" t="b">
        <v>1</v>
      </c>
      <c r="K903" t="s">
        <v>15</v>
      </c>
      <c r="L903">
        <v>121345.8</v>
      </c>
      <c r="M903" t="str" cm="1">
        <f t="array" ref="M903">_xlfn.IFS(A903&lt;30,"Young",A903&lt;=50,"Adult",A903&gt;50,"Senior")</f>
        <v>Senior</v>
      </c>
    </row>
    <row r="904" spans="1:13" x14ac:dyDescent="0.3">
      <c r="A904">
        <v>26</v>
      </c>
      <c r="B904" t="s">
        <v>12</v>
      </c>
      <c r="C904">
        <v>27.265000000000001</v>
      </c>
      <c r="D904">
        <v>3</v>
      </c>
      <c r="E904" t="s">
        <v>19</v>
      </c>
      <c r="F904" t="s">
        <v>9</v>
      </c>
      <c r="G904">
        <v>4661.2863500000003</v>
      </c>
      <c r="H904">
        <v>135.6</v>
      </c>
      <c r="I904" t="s">
        <v>2</v>
      </c>
      <c r="J904" t="b">
        <v>0</v>
      </c>
      <c r="K904" t="s">
        <v>16</v>
      </c>
      <c r="L904">
        <v>178450.48</v>
      </c>
      <c r="M904" t="str" cm="1">
        <f t="array" ref="M904">_xlfn.IFS(A904&lt;30,"Young",A904&lt;=50,"Adult",A904&gt;50,"Senior")</f>
        <v>Young</v>
      </c>
    </row>
    <row r="905" spans="1:13" x14ac:dyDescent="0.3">
      <c r="A905">
        <v>49</v>
      </c>
      <c r="B905" t="s">
        <v>12</v>
      </c>
      <c r="C905">
        <v>36.85</v>
      </c>
      <c r="D905">
        <v>0</v>
      </c>
      <c r="E905" t="s">
        <v>19</v>
      </c>
      <c r="F905" t="s">
        <v>7</v>
      </c>
      <c r="G905">
        <v>8125.7844999999998</v>
      </c>
      <c r="H905">
        <v>113.3</v>
      </c>
      <c r="I905" t="s">
        <v>2</v>
      </c>
      <c r="J905" t="b">
        <v>1</v>
      </c>
      <c r="K905" t="s">
        <v>16</v>
      </c>
      <c r="L905">
        <v>90766.29</v>
      </c>
      <c r="M905" t="str" cm="1">
        <f t="array" ref="M905">_xlfn.IFS(A905&lt;30,"Young",A905&lt;=50,"Adult",A905&gt;50,"Senior")</f>
        <v>Adult</v>
      </c>
    </row>
    <row r="906" spans="1:13" x14ac:dyDescent="0.3">
      <c r="A906">
        <v>60</v>
      </c>
      <c r="B906" t="s">
        <v>11</v>
      </c>
      <c r="C906">
        <v>35.1</v>
      </c>
      <c r="D906">
        <v>0</v>
      </c>
      <c r="E906" t="s">
        <v>19</v>
      </c>
      <c r="F906" t="s">
        <v>6</v>
      </c>
      <c r="G906">
        <v>12644.589</v>
      </c>
      <c r="H906">
        <v>126.7</v>
      </c>
      <c r="I906" t="s">
        <v>0</v>
      </c>
      <c r="J906" t="b">
        <v>0</v>
      </c>
      <c r="K906" t="s">
        <v>16</v>
      </c>
      <c r="L906">
        <v>81083.759999999995</v>
      </c>
      <c r="M906" t="str" cm="1">
        <f t="array" ref="M906">_xlfn.IFS(A906&lt;30,"Young",A906&lt;=50,"Adult",A906&gt;50,"Senior")</f>
        <v>Senior</v>
      </c>
    </row>
    <row r="907" spans="1:13" x14ac:dyDescent="0.3">
      <c r="A907">
        <v>26</v>
      </c>
      <c r="B907" t="s">
        <v>11</v>
      </c>
      <c r="C907">
        <v>29.355</v>
      </c>
      <c r="D907">
        <v>2</v>
      </c>
      <c r="E907" t="s">
        <v>19</v>
      </c>
      <c r="F907" t="s">
        <v>9</v>
      </c>
      <c r="G907">
        <v>4564.1914500000003</v>
      </c>
      <c r="H907">
        <v>112.5</v>
      </c>
      <c r="I907" t="s">
        <v>2</v>
      </c>
      <c r="J907" t="b">
        <v>0</v>
      </c>
      <c r="K907" t="s">
        <v>15</v>
      </c>
      <c r="L907">
        <v>149807.47</v>
      </c>
      <c r="M907" t="str" cm="1">
        <f t="array" ref="M907">_xlfn.IFS(A907&lt;30,"Young",A907&lt;=50,"Adult",A907&gt;50,"Senior")</f>
        <v>Young</v>
      </c>
    </row>
    <row r="908" spans="1:13" x14ac:dyDescent="0.3">
      <c r="A908">
        <v>27</v>
      </c>
      <c r="B908" t="s">
        <v>12</v>
      </c>
      <c r="C908">
        <v>32.585000000000001</v>
      </c>
      <c r="D908">
        <v>3</v>
      </c>
      <c r="E908" t="s">
        <v>19</v>
      </c>
      <c r="F908" t="s">
        <v>9</v>
      </c>
      <c r="G908">
        <v>4846.9201499999999</v>
      </c>
      <c r="H908">
        <v>111.8</v>
      </c>
      <c r="I908" t="s">
        <v>1</v>
      </c>
      <c r="J908" t="b">
        <v>0</v>
      </c>
      <c r="K908" t="s">
        <v>16</v>
      </c>
      <c r="L908">
        <v>51651.29</v>
      </c>
      <c r="M908" t="str" cm="1">
        <f t="array" ref="M908">_xlfn.IFS(A908&lt;30,"Young",A908&lt;=50,"Adult",A908&gt;50,"Senior")</f>
        <v>Young</v>
      </c>
    </row>
    <row r="909" spans="1:13" x14ac:dyDescent="0.3">
      <c r="A909">
        <v>44</v>
      </c>
      <c r="B909" t="s">
        <v>11</v>
      </c>
      <c r="C909">
        <v>32.340000000000003</v>
      </c>
      <c r="D909">
        <v>1</v>
      </c>
      <c r="E909" t="s">
        <v>19</v>
      </c>
      <c r="F909" t="s">
        <v>7</v>
      </c>
      <c r="G909">
        <v>7633.7205999999996</v>
      </c>
      <c r="H909">
        <v>120.8</v>
      </c>
      <c r="I909" t="s">
        <v>1</v>
      </c>
      <c r="J909" t="b">
        <v>1</v>
      </c>
      <c r="K909" t="s">
        <v>14</v>
      </c>
      <c r="L909">
        <v>183365.33</v>
      </c>
      <c r="M909" t="str" cm="1">
        <f t="array" ref="M909">_xlfn.IFS(A909&lt;30,"Young",A909&lt;=50,"Adult",A909&gt;50,"Senior")</f>
        <v>Adult</v>
      </c>
    </row>
    <row r="910" spans="1:13" x14ac:dyDescent="0.3">
      <c r="A910">
        <v>63</v>
      </c>
      <c r="B910" t="s">
        <v>12</v>
      </c>
      <c r="C910">
        <v>39.799999999999997</v>
      </c>
      <c r="D910">
        <v>3</v>
      </c>
      <c r="E910" t="s">
        <v>19</v>
      </c>
      <c r="F910" t="s">
        <v>6</v>
      </c>
      <c r="G910">
        <v>15170.069</v>
      </c>
      <c r="H910">
        <v>127.4</v>
      </c>
      <c r="I910" t="s">
        <v>1</v>
      </c>
      <c r="J910" t="b">
        <v>0</v>
      </c>
      <c r="K910" t="s">
        <v>14</v>
      </c>
      <c r="L910">
        <v>154806.98000000001</v>
      </c>
      <c r="M910" t="str" cm="1">
        <f t="array" ref="M910">_xlfn.IFS(A910&lt;30,"Young",A910&lt;=50,"Adult",A910&gt;50,"Senior")</f>
        <v>Senior</v>
      </c>
    </row>
    <row r="911" spans="1:13" x14ac:dyDescent="0.3">
      <c r="A911">
        <v>32</v>
      </c>
      <c r="B911" t="s">
        <v>11</v>
      </c>
      <c r="C911">
        <v>24.6</v>
      </c>
      <c r="D911">
        <v>0</v>
      </c>
      <c r="E911" t="s">
        <v>18</v>
      </c>
      <c r="F911" t="s">
        <v>6</v>
      </c>
      <c r="G911">
        <v>17496.306</v>
      </c>
      <c r="H911">
        <v>129.1</v>
      </c>
      <c r="I911" t="s">
        <v>0</v>
      </c>
      <c r="J911" t="b">
        <v>1</v>
      </c>
      <c r="K911" t="s">
        <v>16</v>
      </c>
      <c r="L911">
        <v>50003.49</v>
      </c>
      <c r="M911" t="str" cm="1">
        <f t="array" ref="M911">_xlfn.IFS(A911&lt;30,"Young",A911&lt;=50,"Adult",A911&gt;50,"Senior")</f>
        <v>Adult</v>
      </c>
    </row>
    <row r="912" spans="1:13" x14ac:dyDescent="0.3">
      <c r="A912">
        <v>22</v>
      </c>
      <c r="B912" t="s">
        <v>12</v>
      </c>
      <c r="C912">
        <v>28.31</v>
      </c>
      <c r="D912">
        <v>1</v>
      </c>
      <c r="E912" t="s">
        <v>19</v>
      </c>
      <c r="F912" t="s">
        <v>8</v>
      </c>
      <c r="G912">
        <v>2639.0428999999999</v>
      </c>
      <c r="H912">
        <v>121.4</v>
      </c>
      <c r="I912" t="s">
        <v>3</v>
      </c>
      <c r="J912" t="b">
        <v>1</v>
      </c>
      <c r="K912" t="s">
        <v>16</v>
      </c>
      <c r="L912">
        <v>186010.9</v>
      </c>
      <c r="M912" t="str" cm="1">
        <f t="array" ref="M912">_xlfn.IFS(A912&lt;30,"Young",A912&lt;=50,"Adult",A912&gt;50,"Senior")</f>
        <v>Young</v>
      </c>
    </row>
    <row r="913" spans="1:13" x14ac:dyDescent="0.3">
      <c r="A913">
        <v>18</v>
      </c>
      <c r="B913" t="s">
        <v>12</v>
      </c>
      <c r="C913">
        <v>31.73</v>
      </c>
      <c r="D913">
        <v>0</v>
      </c>
      <c r="E913" t="s">
        <v>18</v>
      </c>
      <c r="F913" t="s">
        <v>9</v>
      </c>
      <c r="G913">
        <v>33732.686699999998</v>
      </c>
      <c r="H913">
        <v>130.1</v>
      </c>
      <c r="I913" t="s">
        <v>2</v>
      </c>
      <c r="J913" t="b">
        <v>0</v>
      </c>
      <c r="K913" t="s">
        <v>16</v>
      </c>
      <c r="L913">
        <v>115706.2</v>
      </c>
      <c r="M913" t="str" cm="1">
        <f t="array" ref="M913">_xlfn.IFS(A913&lt;30,"Young",A913&lt;=50,"Adult",A913&gt;50,"Senior")</f>
        <v>Young</v>
      </c>
    </row>
    <row r="914" spans="1:13" x14ac:dyDescent="0.3">
      <c r="A914">
        <v>59</v>
      </c>
      <c r="B914" t="s">
        <v>11</v>
      </c>
      <c r="C914">
        <v>26.695</v>
      </c>
      <c r="D914">
        <v>3</v>
      </c>
      <c r="E914" t="s">
        <v>19</v>
      </c>
      <c r="F914" t="s">
        <v>8</v>
      </c>
      <c r="G914">
        <v>14382.709049999999</v>
      </c>
      <c r="H914">
        <v>117.8</v>
      </c>
      <c r="I914" t="s">
        <v>0</v>
      </c>
      <c r="J914" t="b">
        <v>0</v>
      </c>
      <c r="K914" t="s">
        <v>15</v>
      </c>
      <c r="L914">
        <v>187073.59</v>
      </c>
      <c r="M914" t="str" cm="1">
        <f t="array" ref="M914">_xlfn.IFS(A914&lt;30,"Young",A914&lt;=50,"Adult",A914&gt;50,"Senior")</f>
        <v>Senior</v>
      </c>
    </row>
    <row r="915" spans="1:13" x14ac:dyDescent="0.3">
      <c r="A915">
        <v>44</v>
      </c>
      <c r="B915" t="s">
        <v>11</v>
      </c>
      <c r="C915">
        <v>27.5</v>
      </c>
      <c r="D915">
        <v>1</v>
      </c>
      <c r="E915" t="s">
        <v>19</v>
      </c>
      <c r="F915" t="s">
        <v>6</v>
      </c>
      <c r="G915">
        <v>7626.9930000000004</v>
      </c>
      <c r="H915">
        <v>127.4</v>
      </c>
      <c r="I915" t="s">
        <v>0</v>
      </c>
      <c r="J915" t="b">
        <v>0</v>
      </c>
      <c r="K915" t="s">
        <v>15</v>
      </c>
      <c r="L915">
        <v>172892.26</v>
      </c>
      <c r="M915" t="str" cm="1">
        <f t="array" ref="M915">_xlfn.IFS(A915&lt;30,"Young",A915&lt;=50,"Adult",A915&gt;50,"Senior")</f>
        <v>Adult</v>
      </c>
    </row>
    <row r="916" spans="1:13" x14ac:dyDescent="0.3">
      <c r="A916">
        <v>33</v>
      </c>
      <c r="B916" t="s">
        <v>12</v>
      </c>
      <c r="C916">
        <v>24.605</v>
      </c>
      <c r="D916">
        <v>2</v>
      </c>
      <c r="E916" t="s">
        <v>19</v>
      </c>
      <c r="F916" t="s">
        <v>8</v>
      </c>
      <c r="G916">
        <v>5257.5079500000002</v>
      </c>
      <c r="H916">
        <v>125.1</v>
      </c>
      <c r="I916" t="s">
        <v>1</v>
      </c>
      <c r="J916" t="b">
        <v>0</v>
      </c>
      <c r="K916" t="s">
        <v>14</v>
      </c>
      <c r="L916">
        <v>134539.4</v>
      </c>
      <c r="M916" t="str" cm="1">
        <f t="array" ref="M916">_xlfn.IFS(A916&lt;30,"Young",A916&lt;=50,"Adult",A916&gt;50,"Senior")</f>
        <v>Adult</v>
      </c>
    </row>
    <row r="917" spans="1:13" x14ac:dyDescent="0.3">
      <c r="A917">
        <v>24</v>
      </c>
      <c r="B917" t="s">
        <v>11</v>
      </c>
      <c r="C917">
        <v>33.99</v>
      </c>
      <c r="D917">
        <v>0</v>
      </c>
      <c r="E917" t="s">
        <v>19</v>
      </c>
      <c r="F917" t="s">
        <v>7</v>
      </c>
      <c r="G917">
        <v>2473.3341</v>
      </c>
      <c r="H917">
        <v>115.2</v>
      </c>
      <c r="I917" t="s">
        <v>3</v>
      </c>
      <c r="J917" t="b">
        <v>1</v>
      </c>
      <c r="K917" t="s">
        <v>14</v>
      </c>
      <c r="L917">
        <v>68982.570000000007</v>
      </c>
      <c r="M917" t="str" cm="1">
        <f t="array" ref="M917">_xlfn.IFS(A917&lt;30,"Young",A917&lt;=50,"Adult",A917&gt;50,"Senior")</f>
        <v>Young</v>
      </c>
    </row>
    <row r="918" spans="1:13" x14ac:dyDescent="0.3">
      <c r="A918">
        <v>43</v>
      </c>
      <c r="B918" t="s">
        <v>11</v>
      </c>
      <c r="C918">
        <v>26.885000000000002</v>
      </c>
      <c r="D918">
        <v>0</v>
      </c>
      <c r="E918" t="s">
        <v>18</v>
      </c>
      <c r="F918" t="s">
        <v>8</v>
      </c>
      <c r="G918">
        <v>21774.32215</v>
      </c>
      <c r="H918">
        <v>121.3</v>
      </c>
      <c r="I918" t="s">
        <v>3</v>
      </c>
      <c r="J918" t="b">
        <v>0</v>
      </c>
      <c r="K918" t="s">
        <v>15</v>
      </c>
      <c r="L918">
        <v>65842.100000000006</v>
      </c>
      <c r="M918" t="str" cm="1">
        <f t="array" ref="M918">_xlfn.IFS(A918&lt;30,"Young",A918&lt;=50,"Adult",A918&gt;50,"Senior")</f>
        <v>Adult</v>
      </c>
    </row>
    <row r="919" spans="1:13" x14ac:dyDescent="0.3">
      <c r="A919">
        <v>45</v>
      </c>
      <c r="B919" t="s">
        <v>12</v>
      </c>
      <c r="C919">
        <v>22.895</v>
      </c>
      <c r="D919">
        <v>0</v>
      </c>
      <c r="E919" t="s">
        <v>18</v>
      </c>
      <c r="F919" t="s">
        <v>9</v>
      </c>
      <c r="G919">
        <v>35069.374519999998</v>
      </c>
      <c r="H919">
        <v>120.9</v>
      </c>
      <c r="I919" t="s">
        <v>2</v>
      </c>
      <c r="J919" t="b">
        <v>0</v>
      </c>
      <c r="K919" t="s">
        <v>16</v>
      </c>
      <c r="L919">
        <v>65114.02</v>
      </c>
      <c r="M919" t="str" cm="1">
        <f t="array" ref="M919">_xlfn.IFS(A919&lt;30,"Young",A919&lt;=50,"Adult",A919&gt;50,"Senior")</f>
        <v>Adult</v>
      </c>
    </row>
    <row r="920" spans="1:13" x14ac:dyDescent="0.3">
      <c r="A920">
        <v>61</v>
      </c>
      <c r="B920" t="s">
        <v>11</v>
      </c>
      <c r="C920">
        <v>28.2</v>
      </c>
      <c r="D920">
        <v>0</v>
      </c>
      <c r="E920" t="s">
        <v>19</v>
      </c>
      <c r="F920" t="s">
        <v>6</v>
      </c>
      <c r="G920">
        <v>13041.921</v>
      </c>
      <c r="H920">
        <v>118.2</v>
      </c>
      <c r="I920" t="s">
        <v>2</v>
      </c>
      <c r="J920" t="b">
        <v>0</v>
      </c>
      <c r="K920" t="s">
        <v>15</v>
      </c>
      <c r="L920">
        <v>166177.89000000001</v>
      </c>
      <c r="M920" t="str" cm="1">
        <f t="array" ref="M920">_xlfn.IFS(A920&lt;30,"Young",A920&lt;=50,"Adult",A920&gt;50,"Senior")</f>
        <v>Senior</v>
      </c>
    </row>
    <row r="921" spans="1:13" x14ac:dyDescent="0.3">
      <c r="A921">
        <v>35</v>
      </c>
      <c r="B921" t="s">
        <v>11</v>
      </c>
      <c r="C921">
        <v>34.21</v>
      </c>
      <c r="D921">
        <v>1</v>
      </c>
      <c r="E921" t="s">
        <v>19</v>
      </c>
      <c r="F921" t="s">
        <v>7</v>
      </c>
      <c r="G921">
        <v>5245.2268999999997</v>
      </c>
      <c r="H921">
        <v>130.19999999999999</v>
      </c>
      <c r="I921" t="s">
        <v>1</v>
      </c>
      <c r="J921" t="b">
        <v>0</v>
      </c>
      <c r="K921" t="s">
        <v>15</v>
      </c>
      <c r="L921">
        <v>161779.79</v>
      </c>
      <c r="M921" t="str" cm="1">
        <f t="array" ref="M921">_xlfn.IFS(A921&lt;30,"Young",A921&lt;=50,"Adult",A921&gt;50,"Senior")</f>
        <v>Adult</v>
      </c>
    </row>
    <row r="922" spans="1:13" x14ac:dyDescent="0.3">
      <c r="A922">
        <v>62</v>
      </c>
      <c r="B922" t="s">
        <v>11</v>
      </c>
      <c r="C922">
        <v>25</v>
      </c>
      <c r="D922">
        <v>0</v>
      </c>
      <c r="E922" t="s">
        <v>19</v>
      </c>
      <c r="F922" t="s">
        <v>6</v>
      </c>
      <c r="G922">
        <v>13451.121999999999</v>
      </c>
      <c r="H922">
        <v>111.8</v>
      </c>
      <c r="I922" t="s">
        <v>2</v>
      </c>
      <c r="J922" t="b">
        <v>1</v>
      </c>
      <c r="K922" t="s">
        <v>14</v>
      </c>
      <c r="L922">
        <v>137312.48000000001</v>
      </c>
      <c r="M922" t="str" cm="1">
        <f t="array" ref="M922">_xlfn.IFS(A922&lt;30,"Young",A922&lt;=50,"Adult",A922&gt;50,"Senior")</f>
        <v>Senior</v>
      </c>
    </row>
    <row r="923" spans="1:13" x14ac:dyDescent="0.3">
      <c r="A923">
        <v>62</v>
      </c>
      <c r="B923" t="s">
        <v>11</v>
      </c>
      <c r="C923">
        <v>33.200000000000003</v>
      </c>
      <c r="D923">
        <v>0</v>
      </c>
      <c r="E923" t="s">
        <v>19</v>
      </c>
      <c r="F923" t="s">
        <v>6</v>
      </c>
      <c r="G923">
        <v>13462.52</v>
      </c>
      <c r="H923">
        <v>129</v>
      </c>
      <c r="I923" t="s">
        <v>2</v>
      </c>
      <c r="J923" t="b">
        <v>1</v>
      </c>
      <c r="K923" t="s">
        <v>15</v>
      </c>
      <c r="L923">
        <v>116550.3</v>
      </c>
      <c r="M923" t="str" cm="1">
        <f t="array" ref="M923">_xlfn.IFS(A923&lt;30,"Young",A923&lt;=50,"Adult",A923&gt;50,"Senior")</f>
        <v>Senior</v>
      </c>
    </row>
    <row r="924" spans="1:13" x14ac:dyDescent="0.3">
      <c r="A924">
        <v>38</v>
      </c>
      <c r="B924" t="s">
        <v>12</v>
      </c>
      <c r="C924">
        <v>31</v>
      </c>
      <c r="D924">
        <v>1</v>
      </c>
      <c r="E924" t="s">
        <v>19</v>
      </c>
      <c r="F924" t="s">
        <v>6</v>
      </c>
      <c r="G924">
        <v>5488.2619999999997</v>
      </c>
      <c r="H924">
        <v>116.6</v>
      </c>
      <c r="I924" t="s">
        <v>3</v>
      </c>
      <c r="J924" t="b">
        <v>0</v>
      </c>
      <c r="K924" t="s">
        <v>15</v>
      </c>
      <c r="L924">
        <v>182009.88</v>
      </c>
      <c r="M924" t="str" cm="1">
        <f t="array" ref="M924">_xlfn.IFS(A924&lt;30,"Young",A924&lt;=50,"Adult",A924&gt;50,"Senior")</f>
        <v>Adult</v>
      </c>
    </row>
    <row r="925" spans="1:13" x14ac:dyDescent="0.3">
      <c r="A925">
        <v>34</v>
      </c>
      <c r="B925" t="s">
        <v>12</v>
      </c>
      <c r="C925">
        <v>35.814999999999998</v>
      </c>
      <c r="D925">
        <v>0</v>
      </c>
      <c r="E925" t="s">
        <v>19</v>
      </c>
      <c r="F925" t="s">
        <v>8</v>
      </c>
      <c r="G925">
        <v>4320.4108500000002</v>
      </c>
      <c r="H925">
        <v>110.3</v>
      </c>
      <c r="I925" t="s">
        <v>1</v>
      </c>
      <c r="J925" t="b">
        <v>1</v>
      </c>
      <c r="K925" t="s">
        <v>14</v>
      </c>
      <c r="L925">
        <v>190120.52</v>
      </c>
      <c r="M925" t="str" cm="1">
        <f t="array" ref="M925">_xlfn.IFS(A925&lt;30,"Young",A925&lt;=50,"Adult",A925&gt;50,"Senior")</f>
        <v>Adult</v>
      </c>
    </row>
    <row r="926" spans="1:13" x14ac:dyDescent="0.3">
      <c r="A926">
        <v>43</v>
      </c>
      <c r="B926" t="s">
        <v>12</v>
      </c>
      <c r="C926">
        <v>23.2</v>
      </c>
      <c r="D926">
        <v>0</v>
      </c>
      <c r="E926" t="s">
        <v>19</v>
      </c>
      <c r="F926" t="s">
        <v>6</v>
      </c>
      <c r="G926">
        <v>6250.4350000000004</v>
      </c>
      <c r="H926">
        <v>121.9</v>
      </c>
      <c r="I926" t="s">
        <v>2</v>
      </c>
      <c r="J926" t="b">
        <v>0</v>
      </c>
      <c r="K926" t="s">
        <v>16</v>
      </c>
      <c r="L926">
        <v>128871.06</v>
      </c>
      <c r="M926" t="str" cm="1">
        <f t="array" ref="M926">_xlfn.IFS(A926&lt;30,"Young",A926&lt;=50,"Adult",A926&gt;50,"Senior")</f>
        <v>Adult</v>
      </c>
    </row>
    <row r="927" spans="1:13" x14ac:dyDescent="0.3">
      <c r="A927">
        <v>50</v>
      </c>
      <c r="B927" t="s">
        <v>12</v>
      </c>
      <c r="C927">
        <v>32.11</v>
      </c>
      <c r="D927">
        <v>2</v>
      </c>
      <c r="E927" t="s">
        <v>19</v>
      </c>
      <c r="F927" t="s">
        <v>9</v>
      </c>
      <c r="G927">
        <v>25333.332839999999</v>
      </c>
      <c r="H927">
        <v>134.30000000000001</v>
      </c>
      <c r="I927" t="s">
        <v>1</v>
      </c>
      <c r="J927" t="b">
        <v>0</v>
      </c>
      <c r="K927" t="s">
        <v>16</v>
      </c>
      <c r="L927">
        <v>140235.48000000001</v>
      </c>
      <c r="M927" t="str" cm="1">
        <f t="array" ref="M927">_xlfn.IFS(A927&lt;30,"Young",A927&lt;=50,"Adult",A927&gt;50,"Senior")</f>
        <v>Adult</v>
      </c>
    </row>
    <row r="928" spans="1:13" x14ac:dyDescent="0.3">
      <c r="A928">
        <v>19</v>
      </c>
      <c r="B928" t="s">
        <v>11</v>
      </c>
      <c r="C928">
        <v>23.4</v>
      </c>
      <c r="D928">
        <v>2</v>
      </c>
      <c r="E928" t="s">
        <v>19</v>
      </c>
      <c r="F928" t="s">
        <v>6</v>
      </c>
      <c r="G928">
        <v>2913.569</v>
      </c>
      <c r="H928">
        <v>121.8</v>
      </c>
      <c r="I928" t="s">
        <v>3</v>
      </c>
      <c r="J928" t="b">
        <v>0</v>
      </c>
      <c r="K928" t="s">
        <v>14</v>
      </c>
      <c r="L928">
        <v>180297.60000000001</v>
      </c>
      <c r="M928" t="str" cm="1">
        <f t="array" ref="M928">_xlfn.IFS(A928&lt;30,"Young",A928&lt;=50,"Adult",A928&gt;50,"Senior")</f>
        <v>Young</v>
      </c>
    </row>
    <row r="929" spans="1:13" x14ac:dyDescent="0.3">
      <c r="A929">
        <v>57</v>
      </c>
      <c r="B929" t="s">
        <v>11</v>
      </c>
      <c r="C929">
        <v>20.100000000000001</v>
      </c>
      <c r="D929">
        <v>1</v>
      </c>
      <c r="E929" t="s">
        <v>19</v>
      </c>
      <c r="F929" t="s">
        <v>6</v>
      </c>
      <c r="G929">
        <v>12032.325999999999</v>
      </c>
      <c r="H929">
        <v>110.3</v>
      </c>
      <c r="I929" t="s">
        <v>0</v>
      </c>
      <c r="J929" t="b">
        <v>1</v>
      </c>
      <c r="K929" t="s">
        <v>15</v>
      </c>
      <c r="L929">
        <v>55127.76</v>
      </c>
      <c r="M929" t="str" cm="1">
        <f t="array" ref="M929">_xlfn.IFS(A929&lt;30,"Young",A929&lt;=50,"Adult",A929&gt;50,"Senior")</f>
        <v>Senior</v>
      </c>
    </row>
    <row r="930" spans="1:13" x14ac:dyDescent="0.3">
      <c r="A930">
        <v>62</v>
      </c>
      <c r="B930" t="s">
        <v>11</v>
      </c>
      <c r="C930">
        <v>39.159999999999997</v>
      </c>
      <c r="D930">
        <v>0</v>
      </c>
      <c r="E930" t="s">
        <v>19</v>
      </c>
      <c r="F930" t="s">
        <v>7</v>
      </c>
      <c r="G930">
        <v>13470.804400000001</v>
      </c>
      <c r="H930">
        <v>121.2</v>
      </c>
      <c r="I930" t="s">
        <v>2</v>
      </c>
      <c r="J930" t="b">
        <v>1</v>
      </c>
      <c r="K930" t="s">
        <v>16</v>
      </c>
      <c r="L930">
        <v>42204.480000000003</v>
      </c>
      <c r="M930" t="str" cm="1">
        <f t="array" ref="M930">_xlfn.IFS(A930&lt;30,"Young",A930&lt;=50,"Adult",A930&gt;50,"Senior")</f>
        <v>Senior</v>
      </c>
    </row>
    <row r="931" spans="1:13" x14ac:dyDescent="0.3">
      <c r="A931">
        <v>41</v>
      </c>
      <c r="B931" t="s">
        <v>12</v>
      </c>
      <c r="C931">
        <v>34.21</v>
      </c>
      <c r="D931">
        <v>1</v>
      </c>
      <c r="E931" t="s">
        <v>19</v>
      </c>
      <c r="F931" t="s">
        <v>7</v>
      </c>
      <c r="G931">
        <v>6289.7548999999999</v>
      </c>
      <c r="H931">
        <v>121</v>
      </c>
      <c r="I931" t="s">
        <v>2</v>
      </c>
      <c r="J931" t="b">
        <v>1</v>
      </c>
      <c r="K931" t="s">
        <v>16</v>
      </c>
      <c r="L931">
        <v>61081.26</v>
      </c>
      <c r="M931" t="str" cm="1">
        <f t="array" ref="M931">_xlfn.IFS(A931&lt;30,"Young",A931&lt;=50,"Adult",A931&gt;50,"Senior")</f>
        <v>Adult</v>
      </c>
    </row>
    <row r="932" spans="1:13" x14ac:dyDescent="0.3">
      <c r="A932">
        <v>26</v>
      </c>
      <c r="B932" t="s">
        <v>12</v>
      </c>
      <c r="C932">
        <v>46.53</v>
      </c>
      <c r="D932">
        <v>1</v>
      </c>
      <c r="E932" t="s">
        <v>19</v>
      </c>
      <c r="F932" t="s">
        <v>7</v>
      </c>
      <c r="G932">
        <v>2927.0646999999999</v>
      </c>
      <c r="H932">
        <v>127.1</v>
      </c>
      <c r="I932" t="s">
        <v>1</v>
      </c>
      <c r="J932" t="b">
        <v>0</v>
      </c>
      <c r="K932" t="s">
        <v>14</v>
      </c>
      <c r="L932">
        <v>52511.32</v>
      </c>
      <c r="M932" t="str" cm="1">
        <f t="array" ref="M932">_xlfn.IFS(A932&lt;30,"Young",A932&lt;=50,"Adult",A932&gt;50,"Senior")</f>
        <v>Young</v>
      </c>
    </row>
    <row r="933" spans="1:13" x14ac:dyDescent="0.3">
      <c r="A933">
        <v>39</v>
      </c>
      <c r="B933" t="s">
        <v>11</v>
      </c>
      <c r="C933">
        <v>32.5</v>
      </c>
      <c r="D933">
        <v>1</v>
      </c>
      <c r="E933" t="s">
        <v>19</v>
      </c>
      <c r="F933" t="s">
        <v>6</v>
      </c>
      <c r="G933">
        <v>6238.2979999999998</v>
      </c>
      <c r="H933">
        <v>127.5</v>
      </c>
      <c r="I933" t="s">
        <v>2</v>
      </c>
      <c r="J933" t="b">
        <v>0</v>
      </c>
      <c r="K933" t="s">
        <v>15</v>
      </c>
      <c r="L933">
        <v>150929.92000000001</v>
      </c>
      <c r="M933" t="str" cm="1">
        <f t="array" ref="M933">_xlfn.IFS(A933&lt;30,"Young",A933&lt;=50,"Adult",A933&gt;50,"Senior")</f>
        <v>Adult</v>
      </c>
    </row>
    <row r="934" spans="1:13" x14ac:dyDescent="0.3">
      <c r="A934">
        <v>46</v>
      </c>
      <c r="B934" t="s">
        <v>12</v>
      </c>
      <c r="C934">
        <v>25.8</v>
      </c>
      <c r="D934">
        <v>5</v>
      </c>
      <c r="E934" t="s">
        <v>19</v>
      </c>
      <c r="F934" t="s">
        <v>6</v>
      </c>
      <c r="G934">
        <v>10096.969999999999</v>
      </c>
      <c r="H934">
        <v>129</v>
      </c>
      <c r="I934" t="s">
        <v>0</v>
      </c>
      <c r="J934" t="b">
        <v>0</v>
      </c>
      <c r="K934" t="s">
        <v>14</v>
      </c>
      <c r="L934">
        <v>72058.45</v>
      </c>
      <c r="M934" t="str" cm="1">
        <f t="array" ref="M934">_xlfn.IFS(A934&lt;30,"Young",A934&lt;=50,"Adult",A934&gt;50,"Senior")</f>
        <v>Adult</v>
      </c>
    </row>
    <row r="935" spans="1:13" x14ac:dyDescent="0.3">
      <c r="A935">
        <v>45</v>
      </c>
      <c r="B935" t="s">
        <v>11</v>
      </c>
      <c r="C935">
        <v>35.299999999999997</v>
      </c>
      <c r="D935">
        <v>0</v>
      </c>
      <c r="E935" t="s">
        <v>19</v>
      </c>
      <c r="F935" t="s">
        <v>6</v>
      </c>
      <c r="G935">
        <v>7348.1419999999998</v>
      </c>
      <c r="H935">
        <v>139.6</v>
      </c>
      <c r="I935" t="s">
        <v>3</v>
      </c>
      <c r="J935" t="b">
        <v>1</v>
      </c>
      <c r="K935" t="s">
        <v>15</v>
      </c>
      <c r="L935">
        <v>67925.52</v>
      </c>
      <c r="M935" t="str" cm="1">
        <f t="array" ref="M935">_xlfn.IFS(A935&lt;30,"Young",A935&lt;=50,"Adult",A935&gt;50,"Senior")</f>
        <v>Adult</v>
      </c>
    </row>
    <row r="936" spans="1:13" x14ac:dyDescent="0.3">
      <c r="A936">
        <v>32</v>
      </c>
      <c r="B936" t="s">
        <v>12</v>
      </c>
      <c r="C936">
        <v>37.18</v>
      </c>
      <c r="D936">
        <v>2</v>
      </c>
      <c r="E936" t="s">
        <v>19</v>
      </c>
      <c r="F936" t="s">
        <v>7</v>
      </c>
      <c r="G936">
        <v>4673.3922000000002</v>
      </c>
      <c r="H936">
        <v>128.5</v>
      </c>
      <c r="I936" t="s">
        <v>2</v>
      </c>
      <c r="J936" t="b">
        <v>0</v>
      </c>
      <c r="K936" t="s">
        <v>14</v>
      </c>
      <c r="L936">
        <v>48782.98</v>
      </c>
      <c r="M936" t="str" cm="1">
        <f t="array" ref="M936">_xlfn.IFS(A936&lt;30,"Young",A936&lt;=50,"Adult",A936&gt;50,"Senior")</f>
        <v>Adult</v>
      </c>
    </row>
    <row r="937" spans="1:13" x14ac:dyDescent="0.3">
      <c r="A937">
        <v>59</v>
      </c>
      <c r="B937" t="s">
        <v>11</v>
      </c>
      <c r="C937">
        <v>27.5</v>
      </c>
      <c r="D937">
        <v>0</v>
      </c>
      <c r="E937" t="s">
        <v>19</v>
      </c>
      <c r="F937" t="s">
        <v>6</v>
      </c>
      <c r="G937">
        <v>12233.828</v>
      </c>
      <c r="H937">
        <v>112.7</v>
      </c>
      <c r="I937" t="s">
        <v>1</v>
      </c>
      <c r="J937" t="b">
        <v>1</v>
      </c>
      <c r="K937" t="s">
        <v>15</v>
      </c>
      <c r="L937">
        <v>149247.20000000001</v>
      </c>
      <c r="M937" t="str" cm="1">
        <f t="array" ref="M937">_xlfn.IFS(A937&lt;30,"Young",A937&lt;=50,"Adult",A937&gt;50,"Senior")</f>
        <v>Senior</v>
      </c>
    </row>
    <row r="938" spans="1:13" x14ac:dyDescent="0.3">
      <c r="A938">
        <v>44</v>
      </c>
      <c r="B938" t="s">
        <v>12</v>
      </c>
      <c r="C938">
        <v>29.734999999999999</v>
      </c>
      <c r="D938">
        <v>2</v>
      </c>
      <c r="E938" t="s">
        <v>19</v>
      </c>
      <c r="F938" t="s">
        <v>9</v>
      </c>
      <c r="G938">
        <v>32108.662820000001</v>
      </c>
      <c r="H938">
        <v>139.9</v>
      </c>
      <c r="I938" t="s">
        <v>1</v>
      </c>
      <c r="J938" t="b">
        <v>0</v>
      </c>
      <c r="K938" t="s">
        <v>15</v>
      </c>
      <c r="L938">
        <v>165057.42000000001</v>
      </c>
      <c r="M938" t="str" cm="1">
        <f t="array" ref="M938">_xlfn.IFS(A938&lt;30,"Young",A938&lt;=50,"Adult",A938&gt;50,"Senior")</f>
        <v>Adult</v>
      </c>
    </row>
    <row r="939" spans="1:13" x14ac:dyDescent="0.3">
      <c r="A939">
        <v>39</v>
      </c>
      <c r="B939" t="s">
        <v>11</v>
      </c>
      <c r="C939">
        <v>24.225000000000001</v>
      </c>
      <c r="D939">
        <v>5</v>
      </c>
      <c r="E939" t="s">
        <v>19</v>
      </c>
      <c r="F939" t="s">
        <v>8</v>
      </c>
      <c r="G939">
        <v>8965.7957499999993</v>
      </c>
      <c r="H939">
        <v>134.6</v>
      </c>
      <c r="I939" t="s">
        <v>2</v>
      </c>
      <c r="J939" t="b">
        <v>0</v>
      </c>
      <c r="K939" t="s">
        <v>14</v>
      </c>
      <c r="L939">
        <v>156320.29999999999</v>
      </c>
      <c r="M939" t="str" cm="1">
        <f t="array" ref="M939">_xlfn.IFS(A939&lt;30,"Young",A939&lt;=50,"Adult",A939&gt;50,"Senior")</f>
        <v>Adult</v>
      </c>
    </row>
    <row r="940" spans="1:13" x14ac:dyDescent="0.3">
      <c r="A940">
        <v>18</v>
      </c>
      <c r="B940" t="s">
        <v>12</v>
      </c>
      <c r="C940">
        <v>26.18</v>
      </c>
      <c r="D940">
        <v>2</v>
      </c>
      <c r="E940" t="s">
        <v>19</v>
      </c>
      <c r="F940" t="s">
        <v>7</v>
      </c>
      <c r="G940">
        <v>2304.0021999999999</v>
      </c>
      <c r="H940">
        <v>133.9</v>
      </c>
      <c r="I940" t="s">
        <v>0</v>
      </c>
      <c r="J940" t="b">
        <v>0</v>
      </c>
      <c r="K940" t="s">
        <v>16</v>
      </c>
      <c r="L940">
        <v>132827.04999999999</v>
      </c>
      <c r="M940" t="str" cm="1">
        <f t="array" ref="M940">_xlfn.IFS(A940&lt;30,"Young",A940&lt;=50,"Adult",A940&gt;50,"Senior")</f>
        <v>Young</v>
      </c>
    </row>
    <row r="941" spans="1:13" x14ac:dyDescent="0.3">
      <c r="A941">
        <v>53</v>
      </c>
      <c r="B941" t="s">
        <v>12</v>
      </c>
      <c r="C941">
        <v>29.48</v>
      </c>
      <c r="D941">
        <v>0</v>
      </c>
      <c r="E941" t="s">
        <v>19</v>
      </c>
      <c r="F941" t="s">
        <v>7</v>
      </c>
      <c r="G941">
        <v>9487.6442000000006</v>
      </c>
      <c r="H941">
        <v>120.5</v>
      </c>
      <c r="I941" t="s">
        <v>1</v>
      </c>
      <c r="J941" t="b">
        <v>1</v>
      </c>
      <c r="K941" t="s">
        <v>14</v>
      </c>
      <c r="L941">
        <v>146513.87</v>
      </c>
      <c r="M941" t="str" cm="1">
        <f t="array" ref="M941">_xlfn.IFS(A941&lt;30,"Young",A941&lt;=50,"Adult",A941&gt;50,"Senior")</f>
        <v>Senior</v>
      </c>
    </row>
    <row r="942" spans="1:13" x14ac:dyDescent="0.3">
      <c r="A942">
        <v>18</v>
      </c>
      <c r="B942" t="s">
        <v>12</v>
      </c>
      <c r="C942">
        <v>23.21</v>
      </c>
      <c r="D942">
        <v>0</v>
      </c>
      <c r="E942" t="s">
        <v>19</v>
      </c>
      <c r="F942" t="s">
        <v>7</v>
      </c>
      <c r="G942">
        <v>1121.8739</v>
      </c>
      <c r="H942">
        <v>133</v>
      </c>
      <c r="I942" t="s">
        <v>3</v>
      </c>
      <c r="J942" t="b">
        <v>0</v>
      </c>
      <c r="K942" t="s">
        <v>16</v>
      </c>
      <c r="L942">
        <v>59913.19</v>
      </c>
      <c r="M942" t="str" cm="1">
        <f t="array" ref="M942">_xlfn.IFS(A942&lt;30,"Young",A942&lt;=50,"Adult",A942&gt;50,"Senior")</f>
        <v>Young</v>
      </c>
    </row>
    <row r="943" spans="1:13" x14ac:dyDescent="0.3">
      <c r="A943">
        <v>50</v>
      </c>
      <c r="B943" t="s">
        <v>11</v>
      </c>
      <c r="C943">
        <v>46.09</v>
      </c>
      <c r="D943">
        <v>1</v>
      </c>
      <c r="E943" t="s">
        <v>19</v>
      </c>
      <c r="F943" t="s">
        <v>7</v>
      </c>
      <c r="G943">
        <v>9549.5650999999998</v>
      </c>
      <c r="H943">
        <v>117.5</v>
      </c>
      <c r="I943" t="s">
        <v>1</v>
      </c>
      <c r="J943" t="b">
        <v>1</v>
      </c>
      <c r="K943" t="s">
        <v>14</v>
      </c>
      <c r="L943">
        <v>100230.24</v>
      </c>
      <c r="M943" t="str" cm="1">
        <f t="array" ref="M943">_xlfn.IFS(A943&lt;30,"Young",A943&lt;=50,"Adult",A943&gt;50,"Senior")</f>
        <v>Adult</v>
      </c>
    </row>
    <row r="944" spans="1:13" x14ac:dyDescent="0.3">
      <c r="A944">
        <v>18</v>
      </c>
      <c r="B944" t="s">
        <v>11</v>
      </c>
      <c r="C944">
        <v>40.185000000000002</v>
      </c>
      <c r="D944">
        <v>0</v>
      </c>
      <c r="E944" t="s">
        <v>19</v>
      </c>
      <c r="F944" t="s">
        <v>9</v>
      </c>
      <c r="G944">
        <v>2217.4691499999999</v>
      </c>
      <c r="H944">
        <v>137</v>
      </c>
      <c r="I944" t="s">
        <v>0</v>
      </c>
      <c r="J944" t="b">
        <v>0</v>
      </c>
      <c r="K944" t="s">
        <v>14</v>
      </c>
      <c r="L944">
        <v>196161.02</v>
      </c>
      <c r="M944" t="str" cm="1">
        <f t="array" ref="M944">_xlfn.IFS(A944&lt;30,"Young",A944&lt;=50,"Adult",A944&gt;50,"Senior")</f>
        <v>Young</v>
      </c>
    </row>
    <row r="945" spans="1:13" x14ac:dyDescent="0.3">
      <c r="A945">
        <v>19</v>
      </c>
      <c r="B945" t="s">
        <v>12</v>
      </c>
      <c r="C945">
        <v>22.61</v>
      </c>
      <c r="D945">
        <v>0</v>
      </c>
      <c r="E945" t="s">
        <v>19</v>
      </c>
      <c r="F945" t="s">
        <v>8</v>
      </c>
      <c r="G945">
        <v>1628.4709</v>
      </c>
      <c r="H945">
        <v>119.4</v>
      </c>
      <c r="I945" t="s">
        <v>2</v>
      </c>
      <c r="J945" t="b">
        <v>0</v>
      </c>
      <c r="K945" t="s">
        <v>14</v>
      </c>
      <c r="L945">
        <v>192898.81</v>
      </c>
      <c r="M945" t="str" cm="1">
        <f t="array" ref="M945">_xlfn.IFS(A945&lt;30,"Young",A945&lt;=50,"Adult",A945&gt;50,"Senior")</f>
        <v>Young</v>
      </c>
    </row>
    <row r="946" spans="1:13" x14ac:dyDescent="0.3">
      <c r="A946">
        <v>62</v>
      </c>
      <c r="B946" t="s">
        <v>12</v>
      </c>
      <c r="C946">
        <v>39.93</v>
      </c>
      <c r="D946">
        <v>0</v>
      </c>
      <c r="E946" t="s">
        <v>19</v>
      </c>
      <c r="F946" t="s">
        <v>7</v>
      </c>
      <c r="G946">
        <v>12982.8747</v>
      </c>
      <c r="H946">
        <v>110.7</v>
      </c>
      <c r="I946" t="s">
        <v>3</v>
      </c>
      <c r="J946" t="b">
        <v>1</v>
      </c>
      <c r="K946" t="s">
        <v>15</v>
      </c>
      <c r="L946">
        <v>66426.13</v>
      </c>
      <c r="M946" t="str" cm="1">
        <f t="array" ref="M946">_xlfn.IFS(A946&lt;30,"Young",A946&lt;=50,"Adult",A946&gt;50,"Senior")</f>
        <v>Senior</v>
      </c>
    </row>
    <row r="947" spans="1:13" x14ac:dyDescent="0.3">
      <c r="A947">
        <v>56</v>
      </c>
      <c r="B947" t="s">
        <v>11</v>
      </c>
      <c r="C947">
        <v>35.799999999999997</v>
      </c>
      <c r="D947">
        <v>1</v>
      </c>
      <c r="E947" t="s">
        <v>19</v>
      </c>
      <c r="F947" t="s">
        <v>6</v>
      </c>
      <c r="G947">
        <v>11674.13</v>
      </c>
      <c r="H947">
        <v>137.1</v>
      </c>
      <c r="I947" t="s">
        <v>3</v>
      </c>
      <c r="J947" t="b">
        <v>1</v>
      </c>
      <c r="K947" t="s">
        <v>16</v>
      </c>
      <c r="L947">
        <v>67904.91</v>
      </c>
      <c r="M947" t="str" cm="1">
        <f t="array" ref="M947">_xlfn.IFS(A947&lt;30,"Young",A947&lt;=50,"Adult",A947&gt;50,"Senior")</f>
        <v>Senior</v>
      </c>
    </row>
    <row r="948" spans="1:13" x14ac:dyDescent="0.3">
      <c r="A948">
        <v>42</v>
      </c>
      <c r="B948" t="s">
        <v>12</v>
      </c>
      <c r="C948">
        <v>35.799999999999997</v>
      </c>
      <c r="D948">
        <v>2</v>
      </c>
      <c r="E948" t="s">
        <v>19</v>
      </c>
      <c r="F948" t="s">
        <v>6</v>
      </c>
      <c r="G948">
        <v>7160.0940000000001</v>
      </c>
      <c r="H948">
        <v>113.2</v>
      </c>
      <c r="I948" t="s">
        <v>1</v>
      </c>
      <c r="J948" t="b">
        <v>0</v>
      </c>
      <c r="K948" t="s">
        <v>14</v>
      </c>
      <c r="L948">
        <v>44601.08</v>
      </c>
      <c r="M948" t="str" cm="1">
        <f t="array" ref="M948">_xlfn.IFS(A948&lt;30,"Young",A948&lt;=50,"Adult",A948&gt;50,"Senior")</f>
        <v>Adult</v>
      </c>
    </row>
    <row r="949" spans="1:13" x14ac:dyDescent="0.3">
      <c r="A949">
        <v>37</v>
      </c>
      <c r="B949" t="s">
        <v>12</v>
      </c>
      <c r="C949">
        <v>34.200000000000003</v>
      </c>
      <c r="D949">
        <v>1</v>
      </c>
      <c r="E949" t="s">
        <v>18</v>
      </c>
      <c r="F949" t="s">
        <v>9</v>
      </c>
      <c r="G949">
        <v>39047.285000000003</v>
      </c>
      <c r="H949">
        <v>114.7</v>
      </c>
      <c r="I949" t="s">
        <v>0</v>
      </c>
      <c r="J949" t="b">
        <v>0</v>
      </c>
      <c r="K949" t="s">
        <v>14</v>
      </c>
      <c r="L949">
        <v>43555.49</v>
      </c>
      <c r="M949" t="str" cm="1">
        <f t="array" ref="M949">_xlfn.IFS(A949&lt;30,"Young",A949&lt;=50,"Adult",A949&gt;50,"Senior")</f>
        <v>Adult</v>
      </c>
    </row>
    <row r="950" spans="1:13" x14ac:dyDescent="0.3">
      <c r="A950">
        <v>42</v>
      </c>
      <c r="B950" t="s">
        <v>12</v>
      </c>
      <c r="C950">
        <v>31.254999999999999</v>
      </c>
      <c r="D950">
        <v>0</v>
      </c>
      <c r="E950" t="s">
        <v>19</v>
      </c>
      <c r="F950" t="s">
        <v>8</v>
      </c>
      <c r="G950">
        <v>6358.7764500000003</v>
      </c>
      <c r="H950">
        <v>126.9</v>
      </c>
      <c r="I950" t="s">
        <v>3</v>
      </c>
      <c r="J950" t="b">
        <v>1</v>
      </c>
      <c r="K950" t="s">
        <v>14</v>
      </c>
      <c r="L950">
        <v>82312.14</v>
      </c>
      <c r="M950" t="str" cm="1">
        <f t="array" ref="M950">_xlfn.IFS(A950&lt;30,"Young",A950&lt;=50,"Adult",A950&gt;50,"Senior")</f>
        <v>Adult</v>
      </c>
    </row>
    <row r="951" spans="1:13" x14ac:dyDescent="0.3">
      <c r="A951">
        <v>25</v>
      </c>
      <c r="B951" t="s">
        <v>12</v>
      </c>
      <c r="C951">
        <v>29.7</v>
      </c>
      <c r="D951">
        <v>3</v>
      </c>
      <c r="E951" t="s">
        <v>18</v>
      </c>
      <c r="F951" t="s">
        <v>6</v>
      </c>
      <c r="G951">
        <v>19933.457999999999</v>
      </c>
      <c r="H951">
        <v>115.1</v>
      </c>
      <c r="I951" t="s">
        <v>1</v>
      </c>
      <c r="J951" t="b">
        <v>0</v>
      </c>
      <c r="K951" t="s">
        <v>16</v>
      </c>
      <c r="L951">
        <v>53024.05</v>
      </c>
      <c r="M951" t="str" cm="1">
        <f t="array" ref="M951">_xlfn.IFS(A951&lt;30,"Young",A951&lt;=50,"Adult",A951&gt;50,"Senior")</f>
        <v>Young</v>
      </c>
    </row>
    <row r="952" spans="1:13" x14ac:dyDescent="0.3">
      <c r="A952">
        <v>57</v>
      </c>
      <c r="B952" t="s">
        <v>12</v>
      </c>
      <c r="C952">
        <v>18.335000000000001</v>
      </c>
      <c r="D952">
        <v>0</v>
      </c>
      <c r="E952" t="s">
        <v>19</v>
      </c>
      <c r="F952" t="s">
        <v>9</v>
      </c>
      <c r="G952">
        <v>11534.872649999999</v>
      </c>
      <c r="H952">
        <v>122.9</v>
      </c>
      <c r="I952" t="s">
        <v>1</v>
      </c>
      <c r="J952" t="b">
        <v>0</v>
      </c>
      <c r="K952" t="s">
        <v>14</v>
      </c>
      <c r="L952">
        <v>198219.35</v>
      </c>
      <c r="M952" t="str" cm="1">
        <f t="array" ref="M952">_xlfn.IFS(A952&lt;30,"Young",A952&lt;=50,"Adult",A952&gt;50,"Senior")</f>
        <v>Senior</v>
      </c>
    </row>
    <row r="953" spans="1:13" x14ac:dyDescent="0.3">
      <c r="A953">
        <v>51</v>
      </c>
      <c r="B953" t="s">
        <v>12</v>
      </c>
      <c r="C953">
        <v>42.9</v>
      </c>
      <c r="D953">
        <v>2</v>
      </c>
      <c r="E953" t="s">
        <v>18</v>
      </c>
      <c r="F953" t="s">
        <v>7</v>
      </c>
      <c r="G953">
        <v>47462.894</v>
      </c>
      <c r="H953">
        <v>128.69999999999999</v>
      </c>
      <c r="I953" t="s">
        <v>1</v>
      </c>
      <c r="J953" t="b">
        <v>0</v>
      </c>
      <c r="K953" t="s">
        <v>15</v>
      </c>
      <c r="L953">
        <v>169847.83</v>
      </c>
      <c r="M953" t="str" cm="1">
        <f t="array" ref="M953">_xlfn.IFS(A953&lt;30,"Young",A953&lt;=50,"Adult",A953&gt;50,"Senior")</f>
        <v>Senior</v>
      </c>
    </row>
    <row r="954" spans="1:13" x14ac:dyDescent="0.3">
      <c r="A954">
        <v>30</v>
      </c>
      <c r="B954" t="s">
        <v>11</v>
      </c>
      <c r="C954">
        <v>28.405000000000001</v>
      </c>
      <c r="D954">
        <v>1</v>
      </c>
      <c r="E954" t="s">
        <v>19</v>
      </c>
      <c r="F954" t="s">
        <v>8</v>
      </c>
      <c r="G954">
        <v>4527.1829500000003</v>
      </c>
      <c r="H954">
        <v>116.3</v>
      </c>
      <c r="I954" t="s">
        <v>0</v>
      </c>
      <c r="J954" t="b">
        <v>1</v>
      </c>
      <c r="K954" t="s">
        <v>15</v>
      </c>
      <c r="L954">
        <v>62502.28</v>
      </c>
      <c r="M954" t="str" cm="1">
        <f t="array" ref="M954">_xlfn.IFS(A954&lt;30,"Young",A954&lt;=50,"Adult",A954&gt;50,"Senior")</f>
        <v>Adult</v>
      </c>
    </row>
    <row r="955" spans="1:13" x14ac:dyDescent="0.3">
      <c r="A955">
        <v>44</v>
      </c>
      <c r="B955" t="s">
        <v>12</v>
      </c>
      <c r="C955">
        <v>30.2</v>
      </c>
      <c r="D955">
        <v>2</v>
      </c>
      <c r="E955" t="s">
        <v>18</v>
      </c>
      <c r="F955" t="s">
        <v>6</v>
      </c>
      <c r="G955">
        <v>38998.546000000002</v>
      </c>
      <c r="H955">
        <v>111.5</v>
      </c>
      <c r="I955" t="s">
        <v>3</v>
      </c>
      <c r="J955" t="b">
        <v>0</v>
      </c>
      <c r="K955" t="s">
        <v>15</v>
      </c>
      <c r="L955">
        <v>43026.75</v>
      </c>
      <c r="M955" t="str" cm="1">
        <f t="array" ref="M955">_xlfn.IFS(A955&lt;30,"Young",A955&lt;=50,"Adult",A955&gt;50,"Senior")</f>
        <v>Adult</v>
      </c>
    </row>
    <row r="956" spans="1:13" x14ac:dyDescent="0.3">
      <c r="A956">
        <v>34</v>
      </c>
      <c r="B956" t="s">
        <v>12</v>
      </c>
      <c r="C956">
        <v>27.835000000000001</v>
      </c>
      <c r="D956">
        <v>1</v>
      </c>
      <c r="E956" t="s">
        <v>18</v>
      </c>
      <c r="F956" t="s">
        <v>8</v>
      </c>
      <c r="G956">
        <v>20009.63365</v>
      </c>
      <c r="H956">
        <v>114.3</v>
      </c>
      <c r="I956" t="s">
        <v>1</v>
      </c>
      <c r="J956" t="b">
        <v>1</v>
      </c>
      <c r="K956" t="s">
        <v>16</v>
      </c>
      <c r="L956">
        <v>57447.43</v>
      </c>
      <c r="M956" t="str" cm="1">
        <f t="array" ref="M956">_xlfn.IFS(A956&lt;30,"Young",A956&lt;=50,"Adult",A956&gt;50,"Senior")</f>
        <v>Adult</v>
      </c>
    </row>
    <row r="957" spans="1:13" x14ac:dyDescent="0.3">
      <c r="A957">
        <v>31</v>
      </c>
      <c r="B957" t="s">
        <v>12</v>
      </c>
      <c r="C957">
        <v>39.49</v>
      </c>
      <c r="D957">
        <v>1</v>
      </c>
      <c r="E957" t="s">
        <v>19</v>
      </c>
      <c r="F957" t="s">
        <v>7</v>
      </c>
      <c r="G957">
        <v>3875.7341000000001</v>
      </c>
      <c r="H957">
        <v>127.9</v>
      </c>
      <c r="I957" t="s">
        <v>3</v>
      </c>
      <c r="J957" t="b">
        <v>1</v>
      </c>
      <c r="K957" t="s">
        <v>14</v>
      </c>
      <c r="L957">
        <v>96893.57</v>
      </c>
      <c r="M957" t="str" cm="1">
        <f t="array" ref="M957">_xlfn.IFS(A957&lt;30,"Young",A957&lt;=50,"Adult",A957&gt;50,"Senior")</f>
        <v>Adult</v>
      </c>
    </row>
    <row r="958" spans="1:13" x14ac:dyDescent="0.3">
      <c r="A958">
        <v>54</v>
      </c>
      <c r="B958" t="s">
        <v>12</v>
      </c>
      <c r="C958">
        <v>30.8</v>
      </c>
      <c r="D958">
        <v>1</v>
      </c>
      <c r="E958" t="s">
        <v>18</v>
      </c>
      <c r="F958" t="s">
        <v>7</v>
      </c>
      <c r="G958">
        <v>41999.519999999997</v>
      </c>
      <c r="H958">
        <v>121.8</v>
      </c>
      <c r="I958" t="s">
        <v>0</v>
      </c>
      <c r="J958" t="b">
        <v>1</v>
      </c>
      <c r="K958" t="s">
        <v>15</v>
      </c>
      <c r="L958">
        <v>38014.79</v>
      </c>
      <c r="M958" t="str" cm="1">
        <f t="array" ref="M958">_xlfn.IFS(A958&lt;30,"Young",A958&lt;=50,"Adult",A958&gt;50,"Senior")</f>
        <v>Senior</v>
      </c>
    </row>
    <row r="959" spans="1:13" x14ac:dyDescent="0.3">
      <c r="A959">
        <v>24</v>
      </c>
      <c r="B959" t="s">
        <v>12</v>
      </c>
      <c r="C959">
        <v>26.79</v>
      </c>
      <c r="D959">
        <v>1</v>
      </c>
      <c r="E959" t="s">
        <v>19</v>
      </c>
      <c r="F959" t="s">
        <v>8</v>
      </c>
      <c r="G959">
        <v>12609.88702</v>
      </c>
      <c r="H959">
        <v>134.80000000000001</v>
      </c>
      <c r="I959" t="s">
        <v>3</v>
      </c>
      <c r="J959" t="b">
        <v>1</v>
      </c>
      <c r="K959" t="s">
        <v>14</v>
      </c>
      <c r="L959">
        <v>116672.81</v>
      </c>
      <c r="M959" t="str" cm="1">
        <f t="array" ref="M959">_xlfn.IFS(A959&lt;30,"Young",A959&lt;=50,"Adult",A959&gt;50,"Senior")</f>
        <v>Young</v>
      </c>
    </row>
    <row r="960" spans="1:13" x14ac:dyDescent="0.3">
      <c r="A960">
        <v>43</v>
      </c>
      <c r="B960" t="s">
        <v>12</v>
      </c>
      <c r="C960">
        <v>34.96</v>
      </c>
      <c r="D960">
        <v>1</v>
      </c>
      <c r="E960" t="s">
        <v>18</v>
      </c>
      <c r="F960" t="s">
        <v>9</v>
      </c>
      <c r="G960">
        <v>41034.221400000002</v>
      </c>
      <c r="H960">
        <v>129.6</v>
      </c>
      <c r="I960" t="s">
        <v>2</v>
      </c>
      <c r="J960" t="b">
        <v>0</v>
      </c>
      <c r="K960" t="s">
        <v>14</v>
      </c>
      <c r="L960">
        <v>171410.27</v>
      </c>
      <c r="M960" t="str" cm="1">
        <f t="array" ref="M960">_xlfn.IFS(A960&lt;30,"Young",A960&lt;=50,"Adult",A960&gt;50,"Senior")</f>
        <v>Adult</v>
      </c>
    </row>
    <row r="961" spans="1:13" x14ac:dyDescent="0.3">
      <c r="A961">
        <v>48</v>
      </c>
      <c r="B961" t="s">
        <v>12</v>
      </c>
      <c r="C961">
        <v>36.67</v>
      </c>
      <c r="D961">
        <v>1</v>
      </c>
      <c r="E961" t="s">
        <v>19</v>
      </c>
      <c r="F961" t="s">
        <v>8</v>
      </c>
      <c r="G961">
        <v>28468.919010000001</v>
      </c>
      <c r="H961">
        <v>120</v>
      </c>
      <c r="I961" t="s">
        <v>1</v>
      </c>
      <c r="J961" t="b">
        <v>0</v>
      </c>
      <c r="K961" t="s">
        <v>15</v>
      </c>
      <c r="L961">
        <v>42057.68</v>
      </c>
      <c r="M961" t="str" cm="1">
        <f t="array" ref="M961">_xlfn.IFS(A961&lt;30,"Young",A961&lt;=50,"Adult",A961&gt;50,"Senior")</f>
        <v>Adult</v>
      </c>
    </row>
    <row r="962" spans="1:13" x14ac:dyDescent="0.3">
      <c r="A962">
        <v>19</v>
      </c>
      <c r="B962" t="s">
        <v>11</v>
      </c>
      <c r="C962">
        <v>39.615000000000002</v>
      </c>
      <c r="D962">
        <v>1</v>
      </c>
      <c r="E962" t="s">
        <v>19</v>
      </c>
      <c r="F962" t="s">
        <v>8</v>
      </c>
      <c r="G962">
        <v>2730.1078499999999</v>
      </c>
      <c r="H962">
        <v>126.1</v>
      </c>
      <c r="I962" t="s">
        <v>2</v>
      </c>
      <c r="J962" t="b">
        <v>1</v>
      </c>
      <c r="K962" t="s">
        <v>15</v>
      </c>
      <c r="L962">
        <v>55245.11</v>
      </c>
      <c r="M962" t="str" cm="1">
        <f t="array" ref="M962">_xlfn.IFS(A962&lt;30,"Young",A962&lt;=50,"Adult",A962&gt;50,"Senior")</f>
        <v>Young</v>
      </c>
    </row>
    <row r="963" spans="1:13" x14ac:dyDescent="0.3">
      <c r="A963">
        <v>29</v>
      </c>
      <c r="B963" t="s">
        <v>11</v>
      </c>
      <c r="C963">
        <v>25.9</v>
      </c>
      <c r="D963">
        <v>0</v>
      </c>
      <c r="E963" t="s">
        <v>19</v>
      </c>
      <c r="F963" t="s">
        <v>6</v>
      </c>
      <c r="G963">
        <v>3353.2840000000001</v>
      </c>
      <c r="H963">
        <v>134.4</v>
      </c>
      <c r="I963" t="s">
        <v>2</v>
      </c>
      <c r="J963" t="b">
        <v>1</v>
      </c>
      <c r="K963" t="s">
        <v>14</v>
      </c>
      <c r="L963">
        <v>138806.28</v>
      </c>
      <c r="M963" t="str" cm="1">
        <f t="array" ref="M963">_xlfn.IFS(A963&lt;30,"Young",A963&lt;=50,"Adult",A963&gt;50,"Senior")</f>
        <v>Young</v>
      </c>
    </row>
    <row r="964" spans="1:13" x14ac:dyDescent="0.3">
      <c r="A964">
        <v>63</v>
      </c>
      <c r="B964" t="s">
        <v>11</v>
      </c>
      <c r="C964">
        <v>35.200000000000003</v>
      </c>
      <c r="D964">
        <v>1</v>
      </c>
      <c r="E964" t="s">
        <v>19</v>
      </c>
      <c r="F964" t="s">
        <v>7</v>
      </c>
      <c r="G964">
        <v>14474.674999999999</v>
      </c>
      <c r="H964">
        <v>111</v>
      </c>
      <c r="I964" t="s">
        <v>1</v>
      </c>
      <c r="J964" t="b">
        <v>0</v>
      </c>
      <c r="K964" t="s">
        <v>15</v>
      </c>
      <c r="L964">
        <v>41709.269999999997</v>
      </c>
      <c r="M964" t="str" cm="1">
        <f t="array" ref="M964">_xlfn.IFS(A964&lt;30,"Young",A964&lt;=50,"Adult",A964&gt;50,"Senior")</f>
        <v>Senior</v>
      </c>
    </row>
    <row r="965" spans="1:13" x14ac:dyDescent="0.3">
      <c r="A965">
        <v>46</v>
      </c>
      <c r="B965" t="s">
        <v>12</v>
      </c>
      <c r="C965">
        <v>24.795000000000002</v>
      </c>
      <c r="D965">
        <v>3</v>
      </c>
      <c r="E965" t="s">
        <v>19</v>
      </c>
      <c r="F965" t="s">
        <v>9</v>
      </c>
      <c r="G965">
        <v>9500.5730500000009</v>
      </c>
      <c r="H965">
        <v>131.9</v>
      </c>
      <c r="I965" t="s">
        <v>0</v>
      </c>
      <c r="J965" t="b">
        <v>0</v>
      </c>
      <c r="K965" t="s">
        <v>16</v>
      </c>
      <c r="L965">
        <v>144846.32</v>
      </c>
      <c r="M965" t="str" cm="1">
        <f t="array" ref="M965">_xlfn.IFS(A965&lt;30,"Young",A965&lt;=50,"Adult",A965&gt;50,"Senior")</f>
        <v>Adult</v>
      </c>
    </row>
    <row r="966" spans="1:13" x14ac:dyDescent="0.3">
      <c r="A966">
        <v>52</v>
      </c>
      <c r="B966" t="s">
        <v>12</v>
      </c>
      <c r="C966">
        <v>36.765000000000001</v>
      </c>
      <c r="D966">
        <v>2</v>
      </c>
      <c r="E966" t="s">
        <v>19</v>
      </c>
      <c r="F966" t="s">
        <v>8</v>
      </c>
      <c r="G966">
        <v>26467.09737</v>
      </c>
      <c r="H966">
        <v>136.5</v>
      </c>
      <c r="I966" t="s">
        <v>1</v>
      </c>
      <c r="J966" t="b">
        <v>0</v>
      </c>
      <c r="K966" t="s">
        <v>16</v>
      </c>
      <c r="L966">
        <v>68194.97</v>
      </c>
      <c r="M966" t="str" cm="1">
        <f t="array" ref="M966">_xlfn.IFS(A966&lt;30,"Young",A966&lt;=50,"Adult",A966&gt;50,"Senior")</f>
        <v>Senior</v>
      </c>
    </row>
    <row r="967" spans="1:13" x14ac:dyDescent="0.3">
      <c r="A967">
        <v>35</v>
      </c>
      <c r="B967" t="s">
        <v>12</v>
      </c>
      <c r="C967">
        <v>27.1</v>
      </c>
      <c r="D967">
        <v>1</v>
      </c>
      <c r="E967" t="s">
        <v>19</v>
      </c>
      <c r="F967" t="s">
        <v>6</v>
      </c>
      <c r="G967">
        <v>4746.3440000000001</v>
      </c>
      <c r="H967">
        <v>112.2</v>
      </c>
      <c r="I967" t="s">
        <v>3</v>
      </c>
      <c r="J967" t="b">
        <v>1</v>
      </c>
      <c r="K967" t="s">
        <v>16</v>
      </c>
      <c r="L967">
        <v>67423.28</v>
      </c>
      <c r="M967" t="str" cm="1">
        <f t="array" ref="M967">_xlfn.IFS(A967&lt;30,"Young",A967&lt;=50,"Adult",A967&gt;50,"Senior")</f>
        <v>Adult</v>
      </c>
    </row>
    <row r="968" spans="1:13" x14ac:dyDescent="0.3">
      <c r="A968">
        <v>51</v>
      </c>
      <c r="B968" t="s">
        <v>12</v>
      </c>
      <c r="C968">
        <v>24.795000000000002</v>
      </c>
      <c r="D968">
        <v>2</v>
      </c>
      <c r="E968" t="s">
        <v>18</v>
      </c>
      <c r="F968" t="s">
        <v>8</v>
      </c>
      <c r="G968">
        <v>23967.38305</v>
      </c>
      <c r="H968">
        <v>112</v>
      </c>
      <c r="I968" t="s">
        <v>2</v>
      </c>
      <c r="J968" t="b">
        <v>0</v>
      </c>
      <c r="K968" t="s">
        <v>14</v>
      </c>
      <c r="L968">
        <v>70089.72</v>
      </c>
      <c r="M968" t="str" cm="1">
        <f t="array" ref="M968">_xlfn.IFS(A968&lt;30,"Young",A968&lt;=50,"Adult",A968&gt;50,"Senior")</f>
        <v>Senior</v>
      </c>
    </row>
    <row r="969" spans="1:13" x14ac:dyDescent="0.3">
      <c r="A969">
        <v>44</v>
      </c>
      <c r="B969" t="s">
        <v>12</v>
      </c>
      <c r="C969">
        <v>25.364999999999998</v>
      </c>
      <c r="D969">
        <v>1</v>
      </c>
      <c r="E969" t="s">
        <v>19</v>
      </c>
      <c r="F969" t="s">
        <v>8</v>
      </c>
      <c r="G969">
        <v>7518.0253499999999</v>
      </c>
      <c r="H969">
        <v>137.1</v>
      </c>
      <c r="I969" t="s">
        <v>2</v>
      </c>
      <c r="J969" t="b">
        <v>0</v>
      </c>
      <c r="K969" t="s">
        <v>16</v>
      </c>
      <c r="L969">
        <v>81969.75</v>
      </c>
      <c r="M969" t="str" cm="1">
        <f t="array" ref="M969">_xlfn.IFS(A969&lt;30,"Young",A969&lt;=50,"Adult",A969&gt;50,"Senior")</f>
        <v>Adult</v>
      </c>
    </row>
    <row r="970" spans="1:13" x14ac:dyDescent="0.3">
      <c r="A970">
        <v>21</v>
      </c>
      <c r="B970" t="s">
        <v>12</v>
      </c>
      <c r="C970">
        <v>25.745000000000001</v>
      </c>
      <c r="D970">
        <v>2</v>
      </c>
      <c r="E970" t="s">
        <v>19</v>
      </c>
      <c r="F970" t="s">
        <v>9</v>
      </c>
      <c r="G970">
        <v>3279.8685500000001</v>
      </c>
      <c r="H970">
        <v>137.30000000000001</v>
      </c>
      <c r="I970" t="s">
        <v>1</v>
      </c>
      <c r="J970" t="b">
        <v>0</v>
      </c>
      <c r="K970" t="s">
        <v>16</v>
      </c>
      <c r="L970">
        <v>130322.53</v>
      </c>
      <c r="M970" t="str" cm="1">
        <f t="array" ref="M970">_xlfn.IFS(A970&lt;30,"Young",A970&lt;=50,"Adult",A970&gt;50,"Senior")</f>
        <v>Young</v>
      </c>
    </row>
    <row r="971" spans="1:13" x14ac:dyDescent="0.3">
      <c r="A971">
        <v>39</v>
      </c>
      <c r="B971" t="s">
        <v>11</v>
      </c>
      <c r="C971">
        <v>34.32</v>
      </c>
      <c r="D971">
        <v>5</v>
      </c>
      <c r="E971" t="s">
        <v>19</v>
      </c>
      <c r="F971" t="s">
        <v>7</v>
      </c>
      <c r="G971">
        <v>8596.8277999999991</v>
      </c>
      <c r="H971">
        <v>129.69999999999999</v>
      </c>
      <c r="I971" t="s">
        <v>3</v>
      </c>
      <c r="J971" t="b">
        <v>0</v>
      </c>
      <c r="K971" t="s">
        <v>15</v>
      </c>
      <c r="L971">
        <v>69299.350000000006</v>
      </c>
      <c r="M971" t="str" cm="1">
        <f t="array" ref="M971">_xlfn.IFS(A971&lt;30,"Young",A971&lt;=50,"Adult",A971&gt;50,"Senior")</f>
        <v>Adult</v>
      </c>
    </row>
    <row r="972" spans="1:13" x14ac:dyDescent="0.3">
      <c r="A972">
        <v>50</v>
      </c>
      <c r="B972" t="s">
        <v>11</v>
      </c>
      <c r="C972">
        <v>28.16</v>
      </c>
      <c r="D972">
        <v>3</v>
      </c>
      <c r="E972" t="s">
        <v>19</v>
      </c>
      <c r="F972" t="s">
        <v>7</v>
      </c>
      <c r="G972">
        <v>10702.642400000001</v>
      </c>
      <c r="H972">
        <v>115.1</v>
      </c>
      <c r="I972" t="s">
        <v>2</v>
      </c>
      <c r="J972" t="b">
        <v>1</v>
      </c>
      <c r="K972" t="s">
        <v>15</v>
      </c>
      <c r="L972">
        <v>147664.28</v>
      </c>
      <c r="M972" t="str" cm="1">
        <f t="array" ref="M972">_xlfn.IFS(A972&lt;30,"Young",A972&lt;=50,"Adult",A972&gt;50,"Senior")</f>
        <v>Adult</v>
      </c>
    </row>
    <row r="973" spans="1:13" x14ac:dyDescent="0.3">
      <c r="A973">
        <v>34</v>
      </c>
      <c r="B973" t="s">
        <v>11</v>
      </c>
      <c r="C973">
        <v>23.56</v>
      </c>
      <c r="D973">
        <v>0</v>
      </c>
      <c r="E973" t="s">
        <v>19</v>
      </c>
      <c r="F973" t="s">
        <v>9</v>
      </c>
      <c r="G973">
        <v>4992.3764000000001</v>
      </c>
      <c r="H973">
        <v>122.1</v>
      </c>
      <c r="I973" t="s">
        <v>2</v>
      </c>
      <c r="J973" t="b">
        <v>1</v>
      </c>
      <c r="K973" t="s">
        <v>16</v>
      </c>
      <c r="L973">
        <v>192192.02</v>
      </c>
      <c r="M973" t="str" cm="1">
        <f t="array" ref="M973">_xlfn.IFS(A973&lt;30,"Young",A973&lt;=50,"Adult",A973&gt;50,"Senior")</f>
        <v>Adult</v>
      </c>
    </row>
    <row r="974" spans="1:13" x14ac:dyDescent="0.3">
      <c r="A974">
        <v>22</v>
      </c>
      <c r="B974" t="s">
        <v>11</v>
      </c>
      <c r="C974">
        <v>20.234999999999999</v>
      </c>
      <c r="D974">
        <v>0</v>
      </c>
      <c r="E974" t="s">
        <v>19</v>
      </c>
      <c r="F974" t="s">
        <v>8</v>
      </c>
      <c r="G974">
        <v>2527.8186500000002</v>
      </c>
      <c r="H974">
        <v>138.4</v>
      </c>
      <c r="I974" t="s">
        <v>2</v>
      </c>
      <c r="J974" t="b">
        <v>0</v>
      </c>
      <c r="K974" t="s">
        <v>15</v>
      </c>
      <c r="L974">
        <v>184498.94</v>
      </c>
      <c r="M974" t="str" cm="1">
        <f t="array" ref="M974">_xlfn.IFS(A974&lt;30,"Young",A974&lt;=50,"Adult",A974&gt;50,"Senior")</f>
        <v>Young</v>
      </c>
    </row>
    <row r="975" spans="1:13" x14ac:dyDescent="0.3">
      <c r="A975">
        <v>19</v>
      </c>
      <c r="B975" t="s">
        <v>11</v>
      </c>
      <c r="C975">
        <v>40.5</v>
      </c>
      <c r="D975">
        <v>0</v>
      </c>
      <c r="E975" t="s">
        <v>19</v>
      </c>
      <c r="F975" t="s">
        <v>6</v>
      </c>
      <c r="G975">
        <v>1759.338</v>
      </c>
      <c r="H975">
        <v>126.6</v>
      </c>
      <c r="I975" t="s">
        <v>2</v>
      </c>
      <c r="J975" t="b">
        <v>1</v>
      </c>
      <c r="K975" t="s">
        <v>15</v>
      </c>
      <c r="L975">
        <v>44294.43</v>
      </c>
      <c r="M975" t="str" cm="1">
        <f t="array" ref="M975">_xlfn.IFS(A975&lt;30,"Young",A975&lt;=50,"Adult",A975&gt;50,"Senior")</f>
        <v>Young</v>
      </c>
    </row>
    <row r="976" spans="1:13" x14ac:dyDescent="0.3">
      <c r="A976">
        <v>26</v>
      </c>
      <c r="B976" t="s">
        <v>12</v>
      </c>
      <c r="C976">
        <v>35.42</v>
      </c>
      <c r="D976">
        <v>0</v>
      </c>
      <c r="E976" t="s">
        <v>19</v>
      </c>
      <c r="F976" t="s">
        <v>7</v>
      </c>
      <c r="G976">
        <v>2322.6217999999999</v>
      </c>
      <c r="H976">
        <v>122.1</v>
      </c>
      <c r="I976" t="s">
        <v>0</v>
      </c>
      <c r="J976" t="b">
        <v>0</v>
      </c>
      <c r="K976" t="s">
        <v>14</v>
      </c>
      <c r="L976">
        <v>154310</v>
      </c>
      <c r="M976" t="str" cm="1">
        <f t="array" ref="M976">_xlfn.IFS(A976&lt;30,"Young",A976&lt;=50,"Adult",A976&gt;50,"Senior")</f>
        <v>Young</v>
      </c>
    </row>
    <row r="977" spans="1:13" x14ac:dyDescent="0.3">
      <c r="A977">
        <v>29</v>
      </c>
      <c r="B977" t="s">
        <v>12</v>
      </c>
      <c r="C977">
        <v>22.895</v>
      </c>
      <c r="D977">
        <v>0</v>
      </c>
      <c r="E977" t="s">
        <v>18</v>
      </c>
      <c r="F977" t="s">
        <v>9</v>
      </c>
      <c r="G977">
        <v>16138.762049999999</v>
      </c>
      <c r="H977">
        <v>136.19999999999999</v>
      </c>
      <c r="I977" t="s">
        <v>1</v>
      </c>
      <c r="J977" t="b">
        <v>0</v>
      </c>
      <c r="K977" t="s">
        <v>14</v>
      </c>
      <c r="L977">
        <v>92617.29</v>
      </c>
      <c r="M977" t="str" cm="1">
        <f t="array" ref="M977">_xlfn.IFS(A977&lt;30,"Young",A977&lt;=50,"Adult",A977&gt;50,"Senior")</f>
        <v>Young</v>
      </c>
    </row>
    <row r="978" spans="1:13" x14ac:dyDescent="0.3">
      <c r="A978">
        <v>48</v>
      </c>
      <c r="B978" t="s">
        <v>12</v>
      </c>
      <c r="C978">
        <v>40.15</v>
      </c>
      <c r="D978">
        <v>0</v>
      </c>
      <c r="E978" t="s">
        <v>19</v>
      </c>
      <c r="F978" t="s">
        <v>7</v>
      </c>
      <c r="G978">
        <v>7804.1605</v>
      </c>
      <c r="H978">
        <v>132.5</v>
      </c>
      <c r="I978" t="s">
        <v>0</v>
      </c>
      <c r="J978" t="b">
        <v>1</v>
      </c>
      <c r="K978" t="s">
        <v>16</v>
      </c>
      <c r="L978">
        <v>67301.88</v>
      </c>
      <c r="M978" t="str" cm="1">
        <f t="array" ref="M978">_xlfn.IFS(A978&lt;30,"Young",A978&lt;=50,"Adult",A978&gt;50,"Senior")</f>
        <v>Adult</v>
      </c>
    </row>
    <row r="979" spans="1:13" x14ac:dyDescent="0.3">
      <c r="A979">
        <v>26</v>
      </c>
      <c r="B979" t="s">
        <v>12</v>
      </c>
      <c r="C979">
        <v>29.15</v>
      </c>
      <c r="D979">
        <v>1</v>
      </c>
      <c r="E979" t="s">
        <v>19</v>
      </c>
      <c r="F979" t="s">
        <v>7</v>
      </c>
      <c r="G979">
        <v>2902.9065000000001</v>
      </c>
      <c r="H979">
        <v>114.5</v>
      </c>
      <c r="I979" t="s">
        <v>3</v>
      </c>
      <c r="J979" t="b">
        <v>0</v>
      </c>
      <c r="K979" t="s">
        <v>14</v>
      </c>
      <c r="L979">
        <v>83202.02</v>
      </c>
      <c r="M979" t="str" cm="1">
        <f t="array" ref="M979">_xlfn.IFS(A979&lt;30,"Young",A979&lt;=50,"Adult",A979&gt;50,"Senior")</f>
        <v>Young</v>
      </c>
    </row>
    <row r="980" spans="1:13" x14ac:dyDescent="0.3">
      <c r="A980">
        <v>45</v>
      </c>
      <c r="B980" t="s">
        <v>11</v>
      </c>
      <c r="C980">
        <v>39.994999999999997</v>
      </c>
      <c r="D980">
        <v>3</v>
      </c>
      <c r="E980" t="s">
        <v>19</v>
      </c>
      <c r="F980" t="s">
        <v>9</v>
      </c>
      <c r="G980">
        <v>9704.6680500000002</v>
      </c>
      <c r="H980">
        <v>120.7</v>
      </c>
      <c r="I980" t="s">
        <v>3</v>
      </c>
      <c r="J980" t="b">
        <v>1</v>
      </c>
      <c r="K980" t="s">
        <v>16</v>
      </c>
      <c r="L980">
        <v>91613.53</v>
      </c>
      <c r="M980" t="str" cm="1">
        <f t="array" ref="M980">_xlfn.IFS(A980&lt;30,"Young",A980&lt;=50,"Adult",A980&gt;50,"Senior")</f>
        <v>Adult</v>
      </c>
    </row>
    <row r="981" spans="1:13" x14ac:dyDescent="0.3">
      <c r="A981">
        <v>36</v>
      </c>
      <c r="B981" t="s">
        <v>11</v>
      </c>
      <c r="C981">
        <v>29.92</v>
      </c>
      <c r="D981">
        <v>0</v>
      </c>
      <c r="E981" t="s">
        <v>19</v>
      </c>
      <c r="F981" t="s">
        <v>7</v>
      </c>
      <c r="G981">
        <v>4889.0367999999999</v>
      </c>
      <c r="H981">
        <v>126.6</v>
      </c>
      <c r="I981" t="s">
        <v>1</v>
      </c>
      <c r="J981" t="b">
        <v>1</v>
      </c>
      <c r="K981" t="s">
        <v>15</v>
      </c>
      <c r="L981">
        <v>83399.179999999993</v>
      </c>
      <c r="M981" t="str" cm="1">
        <f t="array" ref="M981">_xlfn.IFS(A981&lt;30,"Young",A981&lt;=50,"Adult",A981&gt;50,"Senior")</f>
        <v>Adult</v>
      </c>
    </row>
    <row r="982" spans="1:13" x14ac:dyDescent="0.3">
      <c r="A982">
        <v>54</v>
      </c>
      <c r="B982" t="s">
        <v>12</v>
      </c>
      <c r="C982">
        <v>25.46</v>
      </c>
      <c r="D982">
        <v>1</v>
      </c>
      <c r="E982" t="s">
        <v>19</v>
      </c>
      <c r="F982" t="s">
        <v>9</v>
      </c>
      <c r="G982">
        <v>25517.11363</v>
      </c>
      <c r="H982">
        <v>114.8</v>
      </c>
      <c r="I982" t="s">
        <v>0</v>
      </c>
      <c r="J982" t="b">
        <v>1</v>
      </c>
      <c r="K982" t="s">
        <v>14</v>
      </c>
      <c r="L982">
        <v>86516.67</v>
      </c>
      <c r="M982" t="str" cm="1">
        <f t="array" ref="M982">_xlfn.IFS(A982&lt;30,"Young",A982&lt;=50,"Adult",A982&gt;50,"Senior")</f>
        <v>Senior</v>
      </c>
    </row>
    <row r="983" spans="1:13" x14ac:dyDescent="0.3">
      <c r="A983">
        <v>34</v>
      </c>
      <c r="B983" t="s">
        <v>12</v>
      </c>
      <c r="C983">
        <v>21.375</v>
      </c>
      <c r="D983">
        <v>0</v>
      </c>
      <c r="E983" t="s">
        <v>19</v>
      </c>
      <c r="F983" t="s">
        <v>9</v>
      </c>
      <c r="G983">
        <v>4500.33925</v>
      </c>
      <c r="H983">
        <v>119</v>
      </c>
      <c r="I983" t="s">
        <v>3</v>
      </c>
      <c r="J983" t="b">
        <v>0</v>
      </c>
      <c r="K983" t="s">
        <v>14</v>
      </c>
      <c r="L983">
        <v>129613.74</v>
      </c>
      <c r="M983" t="str" cm="1">
        <f t="array" ref="M983">_xlfn.IFS(A983&lt;30,"Young",A983&lt;=50,"Adult",A983&gt;50,"Senior")</f>
        <v>Adult</v>
      </c>
    </row>
    <row r="984" spans="1:13" x14ac:dyDescent="0.3">
      <c r="A984">
        <v>31</v>
      </c>
      <c r="B984" t="s">
        <v>12</v>
      </c>
      <c r="C984">
        <v>25.9</v>
      </c>
      <c r="D984">
        <v>3</v>
      </c>
      <c r="E984" t="s">
        <v>18</v>
      </c>
      <c r="F984" t="s">
        <v>6</v>
      </c>
      <c r="G984">
        <v>19199.944</v>
      </c>
      <c r="H984">
        <v>115.4</v>
      </c>
      <c r="I984" t="s">
        <v>1</v>
      </c>
      <c r="J984" t="b">
        <v>1</v>
      </c>
      <c r="K984" t="s">
        <v>14</v>
      </c>
      <c r="L984">
        <v>46437.64</v>
      </c>
      <c r="M984" t="str" cm="1">
        <f t="array" ref="M984">_xlfn.IFS(A984&lt;30,"Young",A984&lt;=50,"Adult",A984&gt;50,"Senior")</f>
        <v>Adult</v>
      </c>
    </row>
    <row r="985" spans="1:13" x14ac:dyDescent="0.3">
      <c r="A985">
        <v>27</v>
      </c>
      <c r="B985" t="s">
        <v>11</v>
      </c>
      <c r="C985">
        <v>30.59</v>
      </c>
      <c r="D985">
        <v>1</v>
      </c>
      <c r="E985" t="s">
        <v>19</v>
      </c>
      <c r="F985" t="s">
        <v>9</v>
      </c>
      <c r="G985">
        <v>16796.411940000002</v>
      </c>
      <c r="H985">
        <v>123.1</v>
      </c>
      <c r="I985" t="s">
        <v>1</v>
      </c>
      <c r="J985" t="b">
        <v>1</v>
      </c>
      <c r="K985" t="s">
        <v>15</v>
      </c>
      <c r="L985">
        <v>48564.67</v>
      </c>
      <c r="M985" t="str" cm="1">
        <f t="array" ref="M985">_xlfn.IFS(A985&lt;30,"Young",A985&lt;=50,"Adult",A985&gt;50,"Senior")</f>
        <v>Young</v>
      </c>
    </row>
    <row r="986" spans="1:13" x14ac:dyDescent="0.3">
      <c r="A986">
        <v>20</v>
      </c>
      <c r="B986" t="s">
        <v>12</v>
      </c>
      <c r="C986">
        <v>30.114999999999998</v>
      </c>
      <c r="D986">
        <v>5</v>
      </c>
      <c r="E986" t="s">
        <v>19</v>
      </c>
      <c r="F986" t="s">
        <v>9</v>
      </c>
      <c r="G986">
        <v>4915.0598499999996</v>
      </c>
      <c r="H986">
        <v>113.4</v>
      </c>
      <c r="I986" t="s">
        <v>3</v>
      </c>
      <c r="J986" t="b">
        <v>1</v>
      </c>
      <c r="K986" t="s">
        <v>16</v>
      </c>
      <c r="L986">
        <v>77967.53</v>
      </c>
      <c r="M986" t="str" cm="1">
        <f t="array" ref="M986">_xlfn.IFS(A986&lt;30,"Young",A986&lt;=50,"Adult",A986&gt;50,"Senior")</f>
        <v>Young</v>
      </c>
    </row>
    <row r="987" spans="1:13" x14ac:dyDescent="0.3">
      <c r="A987">
        <v>44</v>
      </c>
      <c r="B987" t="s">
        <v>11</v>
      </c>
      <c r="C987">
        <v>25.8</v>
      </c>
      <c r="D987">
        <v>1</v>
      </c>
      <c r="E987" t="s">
        <v>19</v>
      </c>
      <c r="F987" t="s">
        <v>6</v>
      </c>
      <c r="G987">
        <v>7624.63</v>
      </c>
      <c r="H987">
        <v>129.19999999999999</v>
      </c>
      <c r="I987" t="s">
        <v>0</v>
      </c>
      <c r="J987" t="b">
        <v>0</v>
      </c>
      <c r="K987" t="s">
        <v>16</v>
      </c>
      <c r="L987">
        <v>179942.27</v>
      </c>
      <c r="M987" t="str" cm="1">
        <f t="array" ref="M987">_xlfn.IFS(A987&lt;30,"Young",A987&lt;=50,"Adult",A987&gt;50,"Senior")</f>
        <v>Adult</v>
      </c>
    </row>
    <row r="988" spans="1:13" x14ac:dyDescent="0.3">
      <c r="A988">
        <v>43</v>
      </c>
      <c r="B988" t="s">
        <v>12</v>
      </c>
      <c r="C988">
        <v>30.114999999999998</v>
      </c>
      <c r="D988">
        <v>3</v>
      </c>
      <c r="E988" t="s">
        <v>19</v>
      </c>
      <c r="F988" t="s">
        <v>8</v>
      </c>
      <c r="G988">
        <v>8410.0468500000006</v>
      </c>
      <c r="H988">
        <v>113.8</v>
      </c>
      <c r="I988" t="s">
        <v>1</v>
      </c>
      <c r="J988" t="b">
        <v>1</v>
      </c>
      <c r="K988" t="s">
        <v>16</v>
      </c>
      <c r="L988">
        <v>84609.919999999998</v>
      </c>
      <c r="M988" t="str" cm="1">
        <f t="array" ref="M988">_xlfn.IFS(A988&lt;30,"Young",A988&lt;=50,"Adult",A988&gt;50,"Senior")</f>
        <v>Adult</v>
      </c>
    </row>
    <row r="989" spans="1:13" x14ac:dyDescent="0.3">
      <c r="A989">
        <v>45</v>
      </c>
      <c r="B989" t="s">
        <v>11</v>
      </c>
      <c r="C989">
        <v>27.645</v>
      </c>
      <c r="D989">
        <v>1</v>
      </c>
      <c r="E989" t="s">
        <v>19</v>
      </c>
      <c r="F989" t="s">
        <v>8</v>
      </c>
      <c r="G989">
        <v>28340.188849999999</v>
      </c>
      <c r="H989">
        <v>136.69999999999999</v>
      </c>
      <c r="I989" t="s">
        <v>3</v>
      </c>
      <c r="J989" t="b">
        <v>1</v>
      </c>
      <c r="K989" t="s">
        <v>15</v>
      </c>
      <c r="L989">
        <v>83296.990000000005</v>
      </c>
      <c r="M989" t="str" cm="1">
        <f t="array" ref="M989">_xlfn.IFS(A989&lt;30,"Young",A989&lt;=50,"Adult",A989&gt;50,"Senior")</f>
        <v>Adult</v>
      </c>
    </row>
    <row r="990" spans="1:13" x14ac:dyDescent="0.3">
      <c r="A990">
        <v>34</v>
      </c>
      <c r="B990" t="s">
        <v>12</v>
      </c>
      <c r="C990">
        <v>34.674999999999997</v>
      </c>
      <c r="D990">
        <v>0</v>
      </c>
      <c r="E990" t="s">
        <v>19</v>
      </c>
      <c r="F990" t="s">
        <v>9</v>
      </c>
      <c r="G990">
        <v>4518.8262500000001</v>
      </c>
      <c r="H990">
        <v>122.2</v>
      </c>
      <c r="I990" t="s">
        <v>3</v>
      </c>
      <c r="J990" t="b">
        <v>1</v>
      </c>
      <c r="K990" t="s">
        <v>15</v>
      </c>
      <c r="L990">
        <v>91566.51</v>
      </c>
      <c r="M990" t="str" cm="1">
        <f t="array" ref="M990">_xlfn.IFS(A990&lt;30,"Young",A990&lt;=50,"Adult",A990&gt;50,"Senior")</f>
        <v>Adult</v>
      </c>
    </row>
    <row r="991" spans="1:13" x14ac:dyDescent="0.3">
      <c r="A991">
        <v>24</v>
      </c>
      <c r="B991" t="s">
        <v>11</v>
      </c>
      <c r="C991">
        <v>20.52</v>
      </c>
      <c r="D991">
        <v>0</v>
      </c>
      <c r="E991" t="s">
        <v>18</v>
      </c>
      <c r="F991" t="s">
        <v>9</v>
      </c>
      <c r="G991">
        <v>14571.890799999999</v>
      </c>
      <c r="H991">
        <v>136.19999999999999</v>
      </c>
      <c r="I991" t="s">
        <v>2</v>
      </c>
      <c r="J991" t="b">
        <v>1</v>
      </c>
      <c r="K991" t="s">
        <v>15</v>
      </c>
      <c r="L991">
        <v>150787.21</v>
      </c>
      <c r="M991" t="str" cm="1">
        <f t="array" ref="M991">_xlfn.IFS(A991&lt;30,"Young",A991&lt;=50,"Adult",A991&gt;50,"Senior")</f>
        <v>Young</v>
      </c>
    </row>
    <row r="992" spans="1:13" x14ac:dyDescent="0.3">
      <c r="A992">
        <v>26</v>
      </c>
      <c r="B992" t="s">
        <v>11</v>
      </c>
      <c r="C992">
        <v>19.8</v>
      </c>
      <c r="D992">
        <v>1</v>
      </c>
      <c r="E992" t="s">
        <v>19</v>
      </c>
      <c r="F992" t="s">
        <v>6</v>
      </c>
      <c r="G992">
        <v>3378.91</v>
      </c>
      <c r="H992">
        <v>116.2</v>
      </c>
      <c r="I992" t="s">
        <v>1</v>
      </c>
      <c r="J992" t="b">
        <v>0</v>
      </c>
      <c r="K992" t="s">
        <v>15</v>
      </c>
      <c r="L992">
        <v>133047.76</v>
      </c>
      <c r="M992" t="str" cm="1">
        <f t="array" ref="M992">_xlfn.IFS(A992&lt;30,"Young",A992&lt;=50,"Adult",A992&gt;50,"Senior")</f>
        <v>Young</v>
      </c>
    </row>
    <row r="993" spans="1:13" x14ac:dyDescent="0.3">
      <c r="A993">
        <v>38</v>
      </c>
      <c r="B993" t="s">
        <v>11</v>
      </c>
      <c r="C993">
        <v>27.835000000000001</v>
      </c>
      <c r="D993">
        <v>2</v>
      </c>
      <c r="E993" t="s">
        <v>19</v>
      </c>
      <c r="F993" t="s">
        <v>9</v>
      </c>
      <c r="G993">
        <v>7144.86265</v>
      </c>
      <c r="H993">
        <v>132.5</v>
      </c>
      <c r="I993" t="s">
        <v>2</v>
      </c>
      <c r="J993" t="b">
        <v>1</v>
      </c>
      <c r="K993" t="s">
        <v>14</v>
      </c>
      <c r="L993">
        <v>72980.73</v>
      </c>
      <c r="M993" t="str" cm="1">
        <f t="array" ref="M993">_xlfn.IFS(A993&lt;30,"Young",A993&lt;=50,"Adult",A993&gt;50,"Senior")</f>
        <v>Adult</v>
      </c>
    </row>
    <row r="994" spans="1:13" x14ac:dyDescent="0.3">
      <c r="A994">
        <v>50</v>
      </c>
      <c r="B994" t="s">
        <v>11</v>
      </c>
      <c r="C994">
        <v>31.6</v>
      </c>
      <c r="D994">
        <v>2</v>
      </c>
      <c r="E994" t="s">
        <v>19</v>
      </c>
      <c r="F994" t="s">
        <v>6</v>
      </c>
      <c r="G994">
        <v>10118.424000000001</v>
      </c>
      <c r="H994">
        <v>127.5</v>
      </c>
      <c r="I994" t="s">
        <v>0</v>
      </c>
      <c r="J994" t="b">
        <v>1</v>
      </c>
      <c r="K994" t="s">
        <v>15</v>
      </c>
      <c r="L994">
        <v>157923.32</v>
      </c>
      <c r="M994" t="str" cm="1">
        <f t="array" ref="M994">_xlfn.IFS(A994&lt;30,"Young",A994&lt;=50,"Adult",A994&gt;50,"Senior")</f>
        <v>Adult</v>
      </c>
    </row>
    <row r="995" spans="1:13" x14ac:dyDescent="0.3">
      <c r="A995">
        <v>38</v>
      </c>
      <c r="B995" t="s">
        <v>12</v>
      </c>
      <c r="C995">
        <v>28.27</v>
      </c>
      <c r="D995">
        <v>1</v>
      </c>
      <c r="E995" t="s">
        <v>19</v>
      </c>
      <c r="F995" t="s">
        <v>7</v>
      </c>
      <c r="G995">
        <v>5484.4673000000003</v>
      </c>
      <c r="H995">
        <v>125.6</v>
      </c>
      <c r="I995" t="s">
        <v>0</v>
      </c>
      <c r="J995" t="b">
        <v>0</v>
      </c>
      <c r="K995" t="s">
        <v>14</v>
      </c>
      <c r="L995">
        <v>76087.13</v>
      </c>
      <c r="M995" t="str" cm="1">
        <f t="array" ref="M995">_xlfn.IFS(A995&lt;30,"Young",A995&lt;=50,"Adult",A995&gt;50,"Senior")</f>
        <v>Adult</v>
      </c>
    </row>
    <row r="996" spans="1:13" x14ac:dyDescent="0.3">
      <c r="A996">
        <v>27</v>
      </c>
      <c r="B996" t="s">
        <v>11</v>
      </c>
      <c r="C996">
        <v>20.045000000000002</v>
      </c>
      <c r="D996">
        <v>3</v>
      </c>
      <c r="E996" t="s">
        <v>18</v>
      </c>
      <c r="F996" t="s">
        <v>8</v>
      </c>
      <c r="G996">
        <v>16420.494549999999</v>
      </c>
      <c r="H996">
        <v>124.4</v>
      </c>
      <c r="I996" t="s">
        <v>0</v>
      </c>
      <c r="J996" t="b">
        <v>0</v>
      </c>
      <c r="K996" t="s">
        <v>14</v>
      </c>
      <c r="L996">
        <v>178696.53</v>
      </c>
      <c r="M996" t="str" cm="1">
        <f t="array" ref="M996">_xlfn.IFS(A996&lt;30,"Young",A996&lt;=50,"Adult",A996&gt;50,"Senior")</f>
        <v>Young</v>
      </c>
    </row>
    <row r="997" spans="1:13" x14ac:dyDescent="0.3">
      <c r="A997">
        <v>39</v>
      </c>
      <c r="B997" t="s">
        <v>11</v>
      </c>
      <c r="C997">
        <v>23.274999999999999</v>
      </c>
      <c r="D997">
        <v>3</v>
      </c>
      <c r="E997" t="s">
        <v>19</v>
      </c>
      <c r="F997" t="s">
        <v>9</v>
      </c>
      <c r="G997">
        <v>7986.4752500000004</v>
      </c>
      <c r="H997">
        <v>111.9</v>
      </c>
      <c r="I997" t="s">
        <v>1</v>
      </c>
      <c r="J997" t="b">
        <v>1</v>
      </c>
      <c r="K997" t="s">
        <v>14</v>
      </c>
      <c r="L997">
        <v>30683.82</v>
      </c>
      <c r="M997" t="str" cm="1">
        <f t="array" ref="M997">_xlfn.IFS(A997&lt;30,"Young",A997&lt;=50,"Adult",A997&gt;50,"Senior")</f>
        <v>Adult</v>
      </c>
    </row>
    <row r="998" spans="1:13" x14ac:dyDescent="0.3">
      <c r="A998">
        <v>39</v>
      </c>
      <c r="B998" t="s">
        <v>11</v>
      </c>
      <c r="C998">
        <v>34.1</v>
      </c>
      <c r="D998">
        <v>3</v>
      </c>
      <c r="E998" t="s">
        <v>19</v>
      </c>
      <c r="F998" t="s">
        <v>6</v>
      </c>
      <c r="G998">
        <v>7418.5219999999999</v>
      </c>
      <c r="H998">
        <v>114</v>
      </c>
      <c r="I998" t="s">
        <v>3</v>
      </c>
      <c r="J998" t="b">
        <v>0</v>
      </c>
      <c r="K998" t="s">
        <v>15</v>
      </c>
      <c r="L998">
        <v>68139.5</v>
      </c>
      <c r="M998" t="str" cm="1">
        <f t="array" ref="M998">_xlfn.IFS(A998&lt;30,"Young",A998&lt;=50,"Adult",A998&gt;50,"Senior")</f>
        <v>Adult</v>
      </c>
    </row>
    <row r="999" spans="1:13" x14ac:dyDescent="0.3">
      <c r="A999">
        <v>63</v>
      </c>
      <c r="B999" t="s">
        <v>11</v>
      </c>
      <c r="C999">
        <v>36.85</v>
      </c>
      <c r="D999">
        <v>0</v>
      </c>
      <c r="E999" t="s">
        <v>19</v>
      </c>
      <c r="F999" t="s">
        <v>7</v>
      </c>
      <c r="G999">
        <v>13887.968500000001</v>
      </c>
      <c r="H999">
        <v>110.7</v>
      </c>
      <c r="I999" t="s">
        <v>2</v>
      </c>
      <c r="J999" t="b">
        <v>1</v>
      </c>
      <c r="K999" t="s">
        <v>16</v>
      </c>
      <c r="L999">
        <v>54254.7</v>
      </c>
      <c r="M999" t="str" cm="1">
        <f t="array" ref="M999">_xlfn.IFS(A999&lt;30,"Young",A999&lt;=50,"Adult",A999&gt;50,"Senior")</f>
        <v>Senior</v>
      </c>
    </row>
    <row r="1000" spans="1:13" x14ac:dyDescent="0.3">
      <c r="A1000">
        <v>33</v>
      </c>
      <c r="B1000" t="s">
        <v>11</v>
      </c>
      <c r="C1000">
        <v>36.29</v>
      </c>
      <c r="D1000">
        <v>3</v>
      </c>
      <c r="E1000" t="s">
        <v>19</v>
      </c>
      <c r="F1000" t="s">
        <v>9</v>
      </c>
      <c r="G1000">
        <v>6551.7501000000002</v>
      </c>
      <c r="H1000">
        <v>139</v>
      </c>
      <c r="I1000" t="s">
        <v>2</v>
      </c>
      <c r="J1000" t="b">
        <v>0</v>
      </c>
      <c r="K1000" t="s">
        <v>14</v>
      </c>
      <c r="L1000">
        <v>121844.63</v>
      </c>
      <c r="M1000" t="str" cm="1">
        <f t="array" ref="M1000">_xlfn.IFS(A1000&lt;30,"Young",A1000&lt;=50,"Adult",A1000&gt;50,"Senior")</f>
        <v>Adult</v>
      </c>
    </row>
    <row r="1001" spans="1:13" x14ac:dyDescent="0.3">
      <c r="A1001">
        <v>36</v>
      </c>
      <c r="B1001" t="s">
        <v>11</v>
      </c>
      <c r="C1001">
        <v>26.885000000000002</v>
      </c>
      <c r="D1001">
        <v>0</v>
      </c>
      <c r="E1001" t="s">
        <v>19</v>
      </c>
      <c r="F1001" t="s">
        <v>8</v>
      </c>
      <c r="G1001">
        <v>5267.8181500000001</v>
      </c>
      <c r="H1001">
        <v>122.9</v>
      </c>
      <c r="I1001" t="s">
        <v>3</v>
      </c>
      <c r="J1001" t="b">
        <v>0</v>
      </c>
      <c r="K1001" t="s">
        <v>16</v>
      </c>
      <c r="L1001">
        <v>171445.5</v>
      </c>
      <c r="M1001" t="str" cm="1">
        <f t="array" ref="M1001">_xlfn.IFS(A1001&lt;30,"Young",A1001&lt;=50,"Adult",A1001&gt;50,"Senior")</f>
        <v>Adult</v>
      </c>
    </row>
    <row r="1002" spans="1:13" x14ac:dyDescent="0.3">
      <c r="A1002">
        <v>30</v>
      </c>
      <c r="B1002" t="s">
        <v>12</v>
      </c>
      <c r="C1002">
        <v>22.99</v>
      </c>
      <c r="D1002">
        <v>2</v>
      </c>
      <c r="E1002" t="s">
        <v>18</v>
      </c>
      <c r="F1002" t="s">
        <v>8</v>
      </c>
      <c r="G1002">
        <v>17361.766100000001</v>
      </c>
      <c r="H1002">
        <v>119.8</v>
      </c>
      <c r="I1002" t="s">
        <v>1</v>
      </c>
      <c r="J1002" t="b">
        <v>1</v>
      </c>
      <c r="K1002" t="s">
        <v>15</v>
      </c>
      <c r="L1002">
        <v>101262.12</v>
      </c>
      <c r="M1002" t="str" cm="1">
        <f t="array" ref="M1002">_xlfn.IFS(A1002&lt;30,"Young",A1002&lt;=50,"Adult",A1002&gt;50,"Senior")</f>
        <v>Adult</v>
      </c>
    </row>
    <row r="1003" spans="1:13" x14ac:dyDescent="0.3">
      <c r="A1003">
        <v>24</v>
      </c>
      <c r="B1003" t="s">
        <v>12</v>
      </c>
      <c r="C1003">
        <v>32.700000000000003</v>
      </c>
      <c r="D1003">
        <v>0</v>
      </c>
      <c r="E1003" t="s">
        <v>18</v>
      </c>
      <c r="F1003" t="s">
        <v>6</v>
      </c>
      <c r="G1003">
        <v>34472.841</v>
      </c>
      <c r="H1003">
        <v>118.5</v>
      </c>
      <c r="I1003" t="s">
        <v>0</v>
      </c>
      <c r="J1003" t="b">
        <v>1</v>
      </c>
      <c r="K1003" t="s">
        <v>16</v>
      </c>
      <c r="L1003">
        <v>133262.64000000001</v>
      </c>
      <c r="M1003" t="str" cm="1">
        <f t="array" ref="M1003">_xlfn.IFS(A1003&lt;30,"Young",A1003&lt;=50,"Adult",A1003&gt;50,"Senior")</f>
        <v>Young</v>
      </c>
    </row>
    <row r="1004" spans="1:13" x14ac:dyDescent="0.3">
      <c r="A1004">
        <v>24</v>
      </c>
      <c r="B1004" t="s">
        <v>12</v>
      </c>
      <c r="C1004">
        <v>25.8</v>
      </c>
      <c r="D1004">
        <v>0</v>
      </c>
      <c r="E1004" t="s">
        <v>19</v>
      </c>
      <c r="F1004" t="s">
        <v>6</v>
      </c>
      <c r="G1004">
        <v>1972.95</v>
      </c>
      <c r="H1004">
        <v>134</v>
      </c>
      <c r="I1004" t="s">
        <v>3</v>
      </c>
      <c r="J1004" t="b">
        <v>0</v>
      </c>
      <c r="K1004" t="s">
        <v>16</v>
      </c>
      <c r="L1004">
        <v>184948.53</v>
      </c>
      <c r="M1004" t="str" cm="1">
        <f t="array" ref="M1004">_xlfn.IFS(A1004&lt;30,"Young",A1004&lt;=50,"Adult",A1004&gt;50,"Senior")</f>
        <v>Young</v>
      </c>
    </row>
    <row r="1005" spans="1:13" x14ac:dyDescent="0.3">
      <c r="A1005">
        <v>48</v>
      </c>
      <c r="B1005" t="s">
        <v>12</v>
      </c>
      <c r="C1005">
        <v>29.6</v>
      </c>
      <c r="D1005">
        <v>0</v>
      </c>
      <c r="E1005" t="s">
        <v>19</v>
      </c>
      <c r="F1005" t="s">
        <v>6</v>
      </c>
      <c r="G1005">
        <v>21232.182260000001</v>
      </c>
      <c r="H1005">
        <v>115</v>
      </c>
      <c r="I1005" t="s">
        <v>2</v>
      </c>
      <c r="J1005" t="b">
        <v>0</v>
      </c>
      <c r="K1005" t="s">
        <v>14</v>
      </c>
      <c r="L1005">
        <v>115935.26</v>
      </c>
      <c r="M1005" t="str" cm="1">
        <f t="array" ref="M1005">_xlfn.IFS(A1005&lt;30,"Young",A1005&lt;=50,"Adult",A1005&gt;50,"Senior")</f>
        <v>Adult</v>
      </c>
    </row>
    <row r="1006" spans="1:13" x14ac:dyDescent="0.3">
      <c r="A1006">
        <v>47</v>
      </c>
      <c r="B1006" t="s">
        <v>12</v>
      </c>
      <c r="C1006">
        <v>19.190000000000001</v>
      </c>
      <c r="D1006">
        <v>1</v>
      </c>
      <c r="E1006" t="s">
        <v>19</v>
      </c>
      <c r="F1006" t="s">
        <v>9</v>
      </c>
      <c r="G1006">
        <v>8627.5411000000004</v>
      </c>
      <c r="H1006">
        <v>118.5</v>
      </c>
      <c r="I1006" t="s">
        <v>0</v>
      </c>
      <c r="J1006" t="b">
        <v>0</v>
      </c>
      <c r="K1006" t="s">
        <v>14</v>
      </c>
      <c r="L1006">
        <v>66429.88</v>
      </c>
      <c r="M1006" t="str" cm="1">
        <f t="array" ref="M1006">_xlfn.IFS(A1006&lt;30,"Young",A1006&lt;=50,"Adult",A1006&gt;50,"Senior")</f>
        <v>Adult</v>
      </c>
    </row>
    <row r="1007" spans="1:13" x14ac:dyDescent="0.3">
      <c r="A1007">
        <v>29</v>
      </c>
      <c r="B1007" t="s">
        <v>12</v>
      </c>
      <c r="C1007">
        <v>31.73</v>
      </c>
      <c r="D1007">
        <v>2</v>
      </c>
      <c r="E1007" t="s">
        <v>19</v>
      </c>
      <c r="F1007" t="s">
        <v>8</v>
      </c>
      <c r="G1007">
        <v>4433.3877000000002</v>
      </c>
      <c r="H1007">
        <v>120</v>
      </c>
      <c r="I1007" t="s">
        <v>2</v>
      </c>
      <c r="J1007" t="b">
        <v>0</v>
      </c>
      <c r="K1007" t="s">
        <v>14</v>
      </c>
      <c r="L1007">
        <v>163906.75</v>
      </c>
      <c r="M1007" t="str" cm="1">
        <f t="array" ref="M1007">_xlfn.IFS(A1007&lt;30,"Young",A1007&lt;=50,"Adult",A1007&gt;50,"Senior")</f>
        <v>Young</v>
      </c>
    </row>
    <row r="1008" spans="1:13" x14ac:dyDescent="0.3">
      <c r="A1008">
        <v>28</v>
      </c>
      <c r="B1008" t="s">
        <v>12</v>
      </c>
      <c r="C1008">
        <v>29.26</v>
      </c>
      <c r="D1008">
        <v>2</v>
      </c>
      <c r="E1008" t="s">
        <v>19</v>
      </c>
      <c r="F1008" t="s">
        <v>9</v>
      </c>
      <c r="G1008">
        <v>4438.2633999999998</v>
      </c>
      <c r="H1008">
        <v>113.9</v>
      </c>
      <c r="I1008" t="s">
        <v>2</v>
      </c>
      <c r="J1008" t="b">
        <v>1</v>
      </c>
      <c r="K1008" t="s">
        <v>16</v>
      </c>
      <c r="L1008">
        <v>189815.16</v>
      </c>
      <c r="M1008" t="str" cm="1">
        <f t="array" ref="M1008">_xlfn.IFS(A1008&lt;30,"Young",A1008&lt;=50,"Adult",A1008&gt;50,"Senior")</f>
        <v>Young</v>
      </c>
    </row>
    <row r="1009" spans="1:13" x14ac:dyDescent="0.3">
      <c r="A1009">
        <v>47</v>
      </c>
      <c r="B1009" t="s">
        <v>12</v>
      </c>
      <c r="C1009">
        <v>28.215</v>
      </c>
      <c r="D1009">
        <v>3</v>
      </c>
      <c r="E1009" t="s">
        <v>18</v>
      </c>
      <c r="F1009" t="s">
        <v>8</v>
      </c>
      <c r="G1009">
        <v>24915.220850000002</v>
      </c>
      <c r="H1009">
        <v>135.6</v>
      </c>
      <c r="I1009" t="s">
        <v>3</v>
      </c>
      <c r="J1009" t="b">
        <v>0</v>
      </c>
      <c r="K1009" t="s">
        <v>14</v>
      </c>
      <c r="L1009">
        <v>119622.74</v>
      </c>
      <c r="M1009" t="str" cm="1">
        <f t="array" ref="M1009">_xlfn.IFS(A1009&lt;30,"Young",A1009&lt;=50,"Adult",A1009&gt;50,"Senior")</f>
        <v>Adult</v>
      </c>
    </row>
    <row r="1010" spans="1:13" x14ac:dyDescent="0.3">
      <c r="A1010">
        <v>25</v>
      </c>
      <c r="B1010" t="s">
        <v>12</v>
      </c>
      <c r="C1010">
        <v>24.984999999999999</v>
      </c>
      <c r="D1010">
        <v>2</v>
      </c>
      <c r="E1010" t="s">
        <v>19</v>
      </c>
      <c r="F1010" t="s">
        <v>9</v>
      </c>
      <c r="G1010">
        <v>23241.47453</v>
      </c>
      <c r="H1010">
        <v>118.5</v>
      </c>
      <c r="I1010" t="s">
        <v>1</v>
      </c>
      <c r="J1010" t="b">
        <v>1</v>
      </c>
      <c r="K1010" t="s">
        <v>15</v>
      </c>
      <c r="L1010">
        <v>87738.64</v>
      </c>
      <c r="M1010" t="str" cm="1">
        <f t="array" ref="M1010">_xlfn.IFS(A1010&lt;30,"Young",A1010&lt;=50,"Adult",A1010&gt;50,"Senior")</f>
        <v>Young</v>
      </c>
    </row>
    <row r="1011" spans="1:13" x14ac:dyDescent="0.3">
      <c r="A1011">
        <v>51</v>
      </c>
      <c r="B1011" t="s">
        <v>12</v>
      </c>
      <c r="C1011">
        <v>27.74</v>
      </c>
      <c r="D1011">
        <v>1</v>
      </c>
      <c r="E1011" t="s">
        <v>19</v>
      </c>
      <c r="F1011" t="s">
        <v>9</v>
      </c>
      <c r="G1011">
        <v>9957.7216000000008</v>
      </c>
      <c r="H1011">
        <v>128.19999999999999</v>
      </c>
      <c r="I1011" t="s">
        <v>0</v>
      </c>
      <c r="J1011" t="b">
        <v>1</v>
      </c>
      <c r="K1011" t="s">
        <v>16</v>
      </c>
      <c r="L1011">
        <v>179661.47</v>
      </c>
      <c r="M1011" t="str" cm="1">
        <f t="array" ref="M1011">_xlfn.IFS(A1011&lt;30,"Young",A1011&lt;=50,"Adult",A1011&gt;50,"Senior")</f>
        <v>Senior</v>
      </c>
    </row>
    <row r="1012" spans="1:13" x14ac:dyDescent="0.3">
      <c r="A1012">
        <v>48</v>
      </c>
      <c r="B1012" t="s">
        <v>11</v>
      </c>
      <c r="C1012">
        <v>22.8</v>
      </c>
      <c r="D1012">
        <v>0</v>
      </c>
      <c r="E1012" t="s">
        <v>19</v>
      </c>
      <c r="F1012" t="s">
        <v>6</v>
      </c>
      <c r="G1012">
        <v>8269.0439999999999</v>
      </c>
      <c r="H1012">
        <v>128.6</v>
      </c>
      <c r="I1012" t="s">
        <v>0</v>
      </c>
      <c r="J1012" t="b">
        <v>1</v>
      </c>
      <c r="K1012" t="s">
        <v>16</v>
      </c>
      <c r="L1012">
        <v>190778.19</v>
      </c>
      <c r="M1012" t="str" cm="1">
        <f t="array" ref="M1012">_xlfn.IFS(A1012&lt;30,"Young",A1012&lt;=50,"Adult",A1012&gt;50,"Senior")</f>
        <v>Adult</v>
      </c>
    </row>
    <row r="1013" spans="1:13" x14ac:dyDescent="0.3">
      <c r="A1013">
        <v>43</v>
      </c>
      <c r="B1013" t="s">
        <v>12</v>
      </c>
      <c r="C1013">
        <v>20.13</v>
      </c>
      <c r="D1013">
        <v>2</v>
      </c>
      <c r="E1013" t="s">
        <v>18</v>
      </c>
      <c r="F1013" t="s">
        <v>7</v>
      </c>
      <c r="G1013">
        <v>18767.737700000001</v>
      </c>
      <c r="H1013">
        <v>126.8</v>
      </c>
      <c r="I1013" t="s">
        <v>1</v>
      </c>
      <c r="J1013" t="b">
        <v>0</v>
      </c>
      <c r="K1013" t="s">
        <v>16</v>
      </c>
      <c r="L1013">
        <v>182222.89</v>
      </c>
      <c r="M1013" t="str" cm="1">
        <f t="array" ref="M1013">_xlfn.IFS(A1013&lt;30,"Young",A1013&lt;=50,"Adult",A1013&gt;50,"Senior")</f>
        <v>Adult</v>
      </c>
    </row>
    <row r="1014" spans="1:13" x14ac:dyDescent="0.3">
      <c r="A1014">
        <v>61</v>
      </c>
      <c r="B1014" t="s">
        <v>11</v>
      </c>
      <c r="C1014">
        <v>33.33</v>
      </c>
      <c r="D1014">
        <v>4</v>
      </c>
      <c r="E1014" t="s">
        <v>19</v>
      </c>
      <c r="F1014" t="s">
        <v>7</v>
      </c>
      <c r="G1014">
        <v>36580.282160000002</v>
      </c>
      <c r="H1014">
        <v>125.7</v>
      </c>
      <c r="I1014" t="s">
        <v>3</v>
      </c>
      <c r="J1014" t="b">
        <v>0</v>
      </c>
      <c r="K1014" t="s">
        <v>16</v>
      </c>
      <c r="L1014">
        <v>113296.76</v>
      </c>
      <c r="M1014" t="str" cm="1">
        <f t="array" ref="M1014">_xlfn.IFS(A1014&lt;30,"Young",A1014&lt;=50,"Adult",A1014&gt;50,"Senior")</f>
        <v>Senior</v>
      </c>
    </row>
    <row r="1015" spans="1:13" x14ac:dyDescent="0.3">
      <c r="A1015">
        <v>48</v>
      </c>
      <c r="B1015" t="s">
        <v>12</v>
      </c>
      <c r="C1015">
        <v>32.299999999999997</v>
      </c>
      <c r="D1015">
        <v>1</v>
      </c>
      <c r="E1015" t="s">
        <v>19</v>
      </c>
      <c r="F1015" t="s">
        <v>8</v>
      </c>
      <c r="G1015">
        <v>8765.2489999999998</v>
      </c>
      <c r="H1015">
        <v>119.6</v>
      </c>
      <c r="I1015" t="s">
        <v>2</v>
      </c>
      <c r="J1015" t="b">
        <v>1</v>
      </c>
      <c r="K1015" t="s">
        <v>15</v>
      </c>
      <c r="L1015">
        <v>104933.44</v>
      </c>
      <c r="M1015" t="str" cm="1">
        <f t="array" ref="M1015">_xlfn.IFS(A1015&lt;30,"Young",A1015&lt;=50,"Adult",A1015&gt;50,"Senior")</f>
        <v>Adult</v>
      </c>
    </row>
    <row r="1016" spans="1:13" x14ac:dyDescent="0.3">
      <c r="A1016">
        <v>38</v>
      </c>
      <c r="B1016" t="s">
        <v>11</v>
      </c>
      <c r="C1016">
        <v>27.6</v>
      </c>
      <c r="D1016">
        <v>0</v>
      </c>
      <c r="E1016" t="s">
        <v>19</v>
      </c>
      <c r="F1016" t="s">
        <v>6</v>
      </c>
      <c r="G1016">
        <v>5383.5360000000001</v>
      </c>
      <c r="H1016">
        <v>136.69999999999999</v>
      </c>
      <c r="I1016" t="s">
        <v>1</v>
      </c>
      <c r="J1016" t="b">
        <v>1</v>
      </c>
      <c r="K1016" t="s">
        <v>15</v>
      </c>
      <c r="L1016">
        <v>140843.57999999999</v>
      </c>
      <c r="M1016" t="str" cm="1">
        <f t="array" ref="M1016">_xlfn.IFS(A1016&lt;30,"Young",A1016&lt;=50,"Adult",A1016&gt;50,"Senior")</f>
        <v>Adult</v>
      </c>
    </row>
    <row r="1017" spans="1:13" x14ac:dyDescent="0.3">
      <c r="A1017">
        <v>59</v>
      </c>
      <c r="B1017" t="s">
        <v>12</v>
      </c>
      <c r="C1017">
        <v>25.46</v>
      </c>
      <c r="D1017">
        <v>0</v>
      </c>
      <c r="E1017" t="s">
        <v>19</v>
      </c>
      <c r="F1017" t="s">
        <v>8</v>
      </c>
      <c r="G1017">
        <v>12124.992399999999</v>
      </c>
      <c r="H1017">
        <v>129</v>
      </c>
      <c r="I1017" t="s">
        <v>1</v>
      </c>
      <c r="J1017" t="b">
        <v>1</v>
      </c>
      <c r="K1017" t="s">
        <v>16</v>
      </c>
      <c r="L1017">
        <v>149689.46</v>
      </c>
      <c r="M1017" t="str" cm="1">
        <f t="array" ref="M1017">_xlfn.IFS(A1017&lt;30,"Young",A1017&lt;=50,"Adult",A1017&gt;50,"Senior")</f>
        <v>Senior</v>
      </c>
    </row>
    <row r="1018" spans="1:13" x14ac:dyDescent="0.3">
      <c r="A1018">
        <v>19</v>
      </c>
      <c r="B1018" t="s">
        <v>11</v>
      </c>
      <c r="C1018">
        <v>24.605</v>
      </c>
      <c r="D1018">
        <v>1</v>
      </c>
      <c r="E1018" t="s">
        <v>19</v>
      </c>
      <c r="F1018" t="s">
        <v>8</v>
      </c>
      <c r="G1018">
        <v>2709.24395</v>
      </c>
      <c r="H1018">
        <v>112.9</v>
      </c>
      <c r="I1018" t="s">
        <v>3</v>
      </c>
      <c r="J1018" t="b">
        <v>0</v>
      </c>
      <c r="K1018" t="s">
        <v>16</v>
      </c>
      <c r="L1018">
        <v>69528.009999999995</v>
      </c>
      <c r="M1018" t="str" cm="1">
        <f t="array" ref="M1018">_xlfn.IFS(A1018&lt;30,"Young",A1018&lt;=50,"Adult",A1018&gt;50,"Senior")</f>
        <v>Young</v>
      </c>
    </row>
    <row r="1019" spans="1:13" x14ac:dyDescent="0.3">
      <c r="A1019">
        <v>26</v>
      </c>
      <c r="B1019" t="s">
        <v>11</v>
      </c>
      <c r="C1019">
        <v>34.200000000000003</v>
      </c>
      <c r="D1019">
        <v>2</v>
      </c>
      <c r="E1019" t="s">
        <v>19</v>
      </c>
      <c r="F1019" t="s">
        <v>6</v>
      </c>
      <c r="G1019">
        <v>3987.9259999999999</v>
      </c>
      <c r="H1019">
        <v>111.9</v>
      </c>
      <c r="I1019" t="s">
        <v>1</v>
      </c>
      <c r="J1019" t="b">
        <v>1</v>
      </c>
      <c r="K1019" t="s">
        <v>14</v>
      </c>
      <c r="L1019">
        <v>149194.15</v>
      </c>
      <c r="M1019" t="str" cm="1">
        <f t="array" ref="M1019">_xlfn.IFS(A1019&lt;30,"Young",A1019&lt;=50,"Adult",A1019&gt;50,"Senior")</f>
        <v>Young</v>
      </c>
    </row>
    <row r="1020" spans="1:13" x14ac:dyDescent="0.3">
      <c r="A1020">
        <v>54</v>
      </c>
      <c r="B1020" t="s">
        <v>11</v>
      </c>
      <c r="C1020">
        <v>35.814999999999998</v>
      </c>
      <c r="D1020">
        <v>3</v>
      </c>
      <c r="E1020" t="s">
        <v>19</v>
      </c>
      <c r="F1020" t="s">
        <v>8</v>
      </c>
      <c r="G1020">
        <v>12495.290849999999</v>
      </c>
      <c r="H1020">
        <v>112.4</v>
      </c>
      <c r="I1020" t="s">
        <v>1</v>
      </c>
      <c r="J1020" t="b">
        <v>1</v>
      </c>
      <c r="K1020" t="s">
        <v>15</v>
      </c>
      <c r="L1020">
        <v>126609.95</v>
      </c>
      <c r="M1020" t="str" cm="1">
        <f t="array" ref="M1020">_xlfn.IFS(A1020&lt;30,"Young",A1020&lt;=50,"Adult",A1020&gt;50,"Senior")</f>
        <v>Senior</v>
      </c>
    </row>
    <row r="1021" spans="1:13" x14ac:dyDescent="0.3">
      <c r="A1021">
        <v>21</v>
      </c>
      <c r="B1021" t="s">
        <v>11</v>
      </c>
      <c r="C1021">
        <v>32.68</v>
      </c>
      <c r="D1021">
        <v>2</v>
      </c>
      <c r="E1021" t="s">
        <v>19</v>
      </c>
      <c r="F1021" t="s">
        <v>8</v>
      </c>
      <c r="G1021">
        <v>26018.950519999999</v>
      </c>
      <c r="H1021">
        <v>138.80000000000001</v>
      </c>
      <c r="I1021" t="s">
        <v>1</v>
      </c>
      <c r="J1021" t="b">
        <v>0</v>
      </c>
      <c r="K1021" t="s">
        <v>14</v>
      </c>
      <c r="L1021">
        <v>100464.56</v>
      </c>
      <c r="M1021" t="str" cm="1">
        <f t="array" ref="M1021">_xlfn.IFS(A1021&lt;30,"Young",A1021&lt;=50,"Adult",A1021&gt;50,"Senior")</f>
        <v>Young</v>
      </c>
    </row>
    <row r="1022" spans="1:13" x14ac:dyDescent="0.3">
      <c r="A1022">
        <v>51</v>
      </c>
      <c r="B1022" t="s">
        <v>12</v>
      </c>
      <c r="C1022">
        <v>37</v>
      </c>
      <c r="D1022">
        <v>0</v>
      </c>
      <c r="E1022" t="s">
        <v>19</v>
      </c>
      <c r="F1022" t="s">
        <v>6</v>
      </c>
      <c r="G1022">
        <v>8798.5930000000008</v>
      </c>
      <c r="H1022">
        <v>134.30000000000001</v>
      </c>
      <c r="I1022" t="s">
        <v>0</v>
      </c>
      <c r="J1022" t="b">
        <v>1</v>
      </c>
      <c r="K1022" t="s">
        <v>16</v>
      </c>
      <c r="L1022">
        <v>187244.6</v>
      </c>
      <c r="M1022" t="str" cm="1">
        <f t="array" ref="M1022">_xlfn.IFS(A1022&lt;30,"Young",A1022&lt;=50,"Adult",A1022&gt;50,"Senior")</f>
        <v>Senior</v>
      </c>
    </row>
    <row r="1023" spans="1:13" x14ac:dyDescent="0.3">
      <c r="A1023">
        <v>22</v>
      </c>
      <c r="B1023" t="s">
        <v>11</v>
      </c>
      <c r="C1023">
        <v>31.02</v>
      </c>
      <c r="D1023">
        <v>3</v>
      </c>
      <c r="E1023" t="s">
        <v>18</v>
      </c>
      <c r="F1023" t="s">
        <v>7</v>
      </c>
      <c r="G1023">
        <v>35595.589800000002</v>
      </c>
      <c r="H1023">
        <v>112.8</v>
      </c>
      <c r="I1023" t="s">
        <v>0</v>
      </c>
      <c r="J1023" t="b">
        <v>0</v>
      </c>
      <c r="K1023" t="s">
        <v>14</v>
      </c>
      <c r="L1023">
        <v>123266.85</v>
      </c>
      <c r="M1023" t="str" cm="1">
        <f t="array" ref="M1023">_xlfn.IFS(A1023&lt;30,"Young",A1023&lt;=50,"Adult",A1023&gt;50,"Senior")</f>
        <v>Young</v>
      </c>
    </row>
    <row r="1024" spans="1:13" x14ac:dyDescent="0.3">
      <c r="A1024">
        <v>47</v>
      </c>
      <c r="B1024" t="s">
        <v>12</v>
      </c>
      <c r="C1024">
        <v>36.08</v>
      </c>
      <c r="D1024">
        <v>1</v>
      </c>
      <c r="E1024" t="s">
        <v>18</v>
      </c>
      <c r="F1024" t="s">
        <v>7</v>
      </c>
      <c r="G1024">
        <v>42211.138200000001</v>
      </c>
      <c r="H1024">
        <v>118.3</v>
      </c>
      <c r="I1024" t="s">
        <v>0</v>
      </c>
      <c r="J1024" t="b">
        <v>1</v>
      </c>
      <c r="K1024" t="s">
        <v>15</v>
      </c>
      <c r="L1024">
        <v>85074.28</v>
      </c>
      <c r="M1024" t="str" cm="1">
        <f t="array" ref="M1024">_xlfn.IFS(A1024&lt;30,"Young",A1024&lt;=50,"Adult",A1024&gt;50,"Senior")</f>
        <v>Adult</v>
      </c>
    </row>
    <row r="1025" spans="1:13" x14ac:dyDescent="0.3">
      <c r="A1025">
        <v>18</v>
      </c>
      <c r="B1025" t="s">
        <v>12</v>
      </c>
      <c r="C1025">
        <v>23.32</v>
      </c>
      <c r="D1025">
        <v>1</v>
      </c>
      <c r="E1025" t="s">
        <v>19</v>
      </c>
      <c r="F1025" t="s">
        <v>7</v>
      </c>
      <c r="G1025">
        <v>1711.0268000000001</v>
      </c>
      <c r="H1025">
        <v>113.4</v>
      </c>
      <c r="I1025" t="s">
        <v>0</v>
      </c>
      <c r="J1025" t="b">
        <v>1</v>
      </c>
      <c r="K1025" t="s">
        <v>16</v>
      </c>
      <c r="L1025">
        <v>185522.95</v>
      </c>
      <c r="M1025" t="str" cm="1">
        <f t="array" ref="M1025">_xlfn.IFS(A1025&lt;30,"Young",A1025&lt;=50,"Adult",A1025&gt;50,"Senior")</f>
        <v>Young</v>
      </c>
    </row>
    <row r="1026" spans="1:13" x14ac:dyDescent="0.3">
      <c r="A1026">
        <v>47</v>
      </c>
      <c r="B1026" t="s">
        <v>11</v>
      </c>
      <c r="C1026">
        <v>45.32</v>
      </c>
      <c r="D1026">
        <v>1</v>
      </c>
      <c r="E1026" t="s">
        <v>19</v>
      </c>
      <c r="F1026" t="s">
        <v>7</v>
      </c>
      <c r="G1026">
        <v>8569.8618000000006</v>
      </c>
      <c r="H1026">
        <v>126.8</v>
      </c>
      <c r="I1026" t="s">
        <v>3</v>
      </c>
      <c r="J1026" t="b">
        <v>0</v>
      </c>
      <c r="K1026" t="s">
        <v>14</v>
      </c>
      <c r="L1026">
        <v>87942.75</v>
      </c>
      <c r="M1026" t="str" cm="1">
        <f t="array" ref="M1026">_xlfn.IFS(A1026&lt;30,"Young",A1026&lt;=50,"Adult",A1026&gt;50,"Senior")</f>
        <v>Adult</v>
      </c>
    </row>
    <row r="1027" spans="1:13" x14ac:dyDescent="0.3">
      <c r="A1027">
        <v>21</v>
      </c>
      <c r="B1027" t="s">
        <v>11</v>
      </c>
      <c r="C1027">
        <v>34.6</v>
      </c>
      <c r="D1027">
        <v>0</v>
      </c>
      <c r="E1027" t="s">
        <v>19</v>
      </c>
      <c r="F1027" t="s">
        <v>6</v>
      </c>
      <c r="G1027">
        <v>2020.1769999999999</v>
      </c>
      <c r="H1027">
        <v>126.2</v>
      </c>
      <c r="I1027" t="s">
        <v>1</v>
      </c>
      <c r="J1027" t="b">
        <v>0</v>
      </c>
      <c r="K1027" t="s">
        <v>14</v>
      </c>
      <c r="L1027">
        <v>170877.3</v>
      </c>
      <c r="M1027" t="str" cm="1">
        <f t="array" ref="M1027">_xlfn.IFS(A1027&lt;30,"Young",A1027&lt;=50,"Adult",A1027&gt;50,"Senior")</f>
        <v>Young</v>
      </c>
    </row>
    <row r="1028" spans="1:13" x14ac:dyDescent="0.3">
      <c r="A1028">
        <v>19</v>
      </c>
      <c r="B1028" t="s">
        <v>12</v>
      </c>
      <c r="C1028">
        <v>26.03</v>
      </c>
      <c r="D1028">
        <v>1</v>
      </c>
      <c r="E1028" t="s">
        <v>18</v>
      </c>
      <c r="F1028" t="s">
        <v>8</v>
      </c>
      <c r="G1028">
        <v>16450.894700000001</v>
      </c>
      <c r="H1028">
        <v>134.80000000000001</v>
      </c>
      <c r="I1028" t="s">
        <v>1</v>
      </c>
      <c r="J1028" t="b">
        <v>1</v>
      </c>
      <c r="K1028" t="s">
        <v>15</v>
      </c>
      <c r="L1028">
        <v>60777.79</v>
      </c>
      <c r="M1028" t="str" cm="1">
        <f t="array" ref="M1028">_xlfn.IFS(A1028&lt;30,"Young",A1028&lt;=50,"Adult",A1028&gt;50,"Senior")</f>
        <v>Young</v>
      </c>
    </row>
    <row r="1029" spans="1:13" x14ac:dyDescent="0.3">
      <c r="A1029">
        <v>23</v>
      </c>
      <c r="B1029" t="s">
        <v>12</v>
      </c>
      <c r="C1029">
        <v>18.715</v>
      </c>
      <c r="D1029">
        <v>0</v>
      </c>
      <c r="E1029" t="s">
        <v>19</v>
      </c>
      <c r="F1029" t="s">
        <v>8</v>
      </c>
      <c r="G1029">
        <v>21595.382290000001</v>
      </c>
      <c r="H1029">
        <v>122.7</v>
      </c>
      <c r="I1029" t="s">
        <v>3</v>
      </c>
      <c r="J1029" t="b">
        <v>0</v>
      </c>
      <c r="K1029" t="s">
        <v>16</v>
      </c>
      <c r="L1029">
        <v>120055.1</v>
      </c>
      <c r="M1029" t="str" cm="1">
        <f t="array" ref="M1029">_xlfn.IFS(A1029&lt;30,"Young",A1029&lt;=50,"Adult",A1029&gt;50,"Senior")</f>
        <v>Young</v>
      </c>
    </row>
    <row r="1030" spans="1:13" x14ac:dyDescent="0.3">
      <c r="A1030">
        <v>54</v>
      </c>
      <c r="B1030" t="s">
        <v>12</v>
      </c>
      <c r="C1030">
        <v>31.6</v>
      </c>
      <c r="D1030">
        <v>0</v>
      </c>
      <c r="E1030" t="s">
        <v>19</v>
      </c>
      <c r="F1030" t="s">
        <v>6</v>
      </c>
      <c r="G1030">
        <v>9850.4320000000007</v>
      </c>
      <c r="H1030">
        <v>114</v>
      </c>
      <c r="I1030" t="s">
        <v>1</v>
      </c>
      <c r="J1030" t="b">
        <v>0</v>
      </c>
      <c r="K1030" t="s">
        <v>15</v>
      </c>
      <c r="L1030">
        <v>154034.54</v>
      </c>
      <c r="M1030" t="str" cm="1">
        <f t="array" ref="M1030">_xlfn.IFS(A1030&lt;30,"Young",A1030&lt;=50,"Adult",A1030&gt;50,"Senior")</f>
        <v>Senior</v>
      </c>
    </row>
    <row r="1031" spans="1:13" x14ac:dyDescent="0.3">
      <c r="A1031">
        <v>37</v>
      </c>
      <c r="B1031" t="s">
        <v>11</v>
      </c>
      <c r="C1031">
        <v>17.29</v>
      </c>
      <c r="D1031">
        <v>2</v>
      </c>
      <c r="E1031" t="s">
        <v>19</v>
      </c>
      <c r="F1031" t="s">
        <v>9</v>
      </c>
      <c r="G1031">
        <v>6877.9800999999998</v>
      </c>
      <c r="H1031">
        <v>132</v>
      </c>
      <c r="I1031" t="s">
        <v>2</v>
      </c>
      <c r="J1031" t="b">
        <v>0</v>
      </c>
      <c r="K1031" t="s">
        <v>14</v>
      </c>
      <c r="L1031">
        <v>114722.98</v>
      </c>
      <c r="M1031" t="str" cm="1">
        <f t="array" ref="M1031">_xlfn.IFS(A1031&lt;30,"Young",A1031&lt;=50,"Adult",A1031&gt;50,"Senior")</f>
        <v>Adult</v>
      </c>
    </row>
    <row r="1032" spans="1:13" x14ac:dyDescent="0.3">
      <c r="A1032">
        <v>46</v>
      </c>
      <c r="B1032" t="s">
        <v>11</v>
      </c>
      <c r="C1032">
        <v>23.655000000000001</v>
      </c>
      <c r="D1032">
        <v>1</v>
      </c>
      <c r="E1032" t="s">
        <v>18</v>
      </c>
      <c r="F1032" t="s">
        <v>8</v>
      </c>
      <c r="G1032">
        <v>21677.283449999999</v>
      </c>
      <c r="H1032">
        <v>122.2</v>
      </c>
      <c r="I1032" t="s">
        <v>3</v>
      </c>
      <c r="J1032" t="b">
        <v>0</v>
      </c>
      <c r="K1032" t="s">
        <v>16</v>
      </c>
      <c r="L1032">
        <v>188022.56</v>
      </c>
      <c r="M1032" t="str" cm="1">
        <f t="array" ref="M1032">_xlfn.IFS(A1032&lt;30,"Young",A1032&lt;=50,"Adult",A1032&gt;50,"Senior")</f>
        <v>Adult</v>
      </c>
    </row>
    <row r="1033" spans="1:13" x14ac:dyDescent="0.3">
      <c r="A1033">
        <v>55</v>
      </c>
      <c r="B1033" t="s">
        <v>11</v>
      </c>
      <c r="C1033">
        <v>35.200000000000003</v>
      </c>
      <c r="D1033">
        <v>0</v>
      </c>
      <c r="E1033" t="s">
        <v>18</v>
      </c>
      <c r="F1033" t="s">
        <v>7</v>
      </c>
      <c r="G1033">
        <v>44423.803</v>
      </c>
      <c r="H1033">
        <v>114</v>
      </c>
      <c r="I1033" t="s">
        <v>2</v>
      </c>
      <c r="J1033" t="b">
        <v>0</v>
      </c>
      <c r="K1033" t="s">
        <v>15</v>
      </c>
      <c r="L1033">
        <v>170083</v>
      </c>
      <c r="M1033" t="str" cm="1">
        <f t="array" ref="M1033">_xlfn.IFS(A1033&lt;30,"Young",A1033&lt;=50,"Adult",A1033&gt;50,"Senior")</f>
        <v>Senior</v>
      </c>
    </row>
    <row r="1034" spans="1:13" x14ac:dyDescent="0.3">
      <c r="A1034">
        <v>30</v>
      </c>
      <c r="B1034" t="s">
        <v>11</v>
      </c>
      <c r="C1034">
        <v>27.93</v>
      </c>
      <c r="D1034">
        <v>0</v>
      </c>
      <c r="E1034" t="s">
        <v>19</v>
      </c>
      <c r="F1034" t="s">
        <v>9</v>
      </c>
      <c r="G1034">
        <v>4137.5227000000004</v>
      </c>
      <c r="H1034">
        <v>120.7</v>
      </c>
      <c r="I1034" t="s">
        <v>2</v>
      </c>
      <c r="J1034" t="b">
        <v>1</v>
      </c>
      <c r="K1034" t="s">
        <v>16</v>
      </c>
      <c r="L1034">
        <v>33019.949999999997</v>
      </c>
      <c r="M1034" t="str" cm="1">
        <f t="array" ref="M1034">_xlfn.IFS(A1034&lt;30,"Young",A1034&lt;=50,"Adult",A1034&gt;50,"Senior")</f>
        <v>Adult</v>
      </c>
    </row>
    <row r="1035" spans="1:13" x14ac:dyDescent="0.3">
      <c r="A1035">
        <v>18</v>
      </c>
      <c r="B1035" t="s">
        <v>12</v>
      </c>
      <c r="C1035">
        <v>21.565000000000001</v>
      </c>
      <c r="D1035">
        <v>0</v>
      </c>
      <c r="E1035" t="s">
        <v>18</v>
      </c>
      <c r="F1035" t="s">
        <v>9</v>
      </c>
      <c r="G1035">
        <v>13747.87235</v>
      </c>
      <c r="H1035">
        <v>116.6</v>
      </c>
      <c r="I1035" t="s">
        <v>0</v>
      </c>
      <c r="J1035" t="b">
        <v>1</v>
      </c>
      <c r="K1035" t="s">
        <v>14</v>
      </c>
      <c r="L1035">
        <v>126181.85</v>
      </c>
      <c r="M1035" t="str" cm="1">
        <f t="array" ref="M1035">_xlfn.IFS(A1035&lt;30,"Young",A1035&lt;=50,"Adult",A1035&gt;50,"Senior")</f>
        <v>Young</v>
      </c>
    </row>
    <row r="1036" spans="1:13" x14ac:dyDescent="0.3">
      <c r="A1036">
        <v>61</v>
      </c>
      <c r="B1036" t="s">
        <v>12</v>
      </c>
      <c r="C1036">
        <v>38.380000000000003</v>
      </c>
      <c r="D1036">
        <v>0</v>
      </c>
      <c r="E1036" t="s">
        <v>19</v>
      </c>
      <c r="F1036" t="s">
        <v>8</v>
      </c>
      <c r="G1036">
        <v>12950.0712</v>
      </c>
      <c r="H1036">
        <v>125</v>
      </c>
      <c r="I1036" t="s">
        <v>3</v>
      </c>
      <c r="J1036" t="b">
        <v>0</v>
      </c>
      <c r="K1036" t="s">
        <v>14</v>
      </c>
      <c r="L1036">
        <v>197369.08</v>
      </c>
      <c r="M1036" t="str" cm="1">
        <f t="array" ref="M1036">_xlfn.IFS(A1036&lt;30,"Young",A1036&lt;=50,"Adult",A1036&gt;50,"Senior")</f>
        <v>Senior</v>
      </c>
    </row>
    <row r="1037" spans="1:13" x14ac:dyDescent="0.3">
      <c r="A1037">
        <v>54</v>
      </c>
      <c r="B1037" t="s">
        <v>11</v>
      </c>
      <c r="C1037">
        <v>23</v>
      </c>
      <c r="D1037">
        <v>3</v>
      </c>
      <c r="E1037" t="s">
        <v>19</v>
      </c>
      <c r="F1037" t="s">
        <v>6</v>
      </c>
      <c r="G1037">
        <v>12094.477999999999</v>
      </c>
      <c r="H1037">
        <v>114.7</v>
      </c>
      <c r="I1037" t="s">
        <v>2</v>
      </c>
      <c r="J1037" t="b">
        <v>0</v>
      </c>
      <c r="K1037" t="s">
        <v>14</v>
      </c>
      <c r="L1037">
        <v>98031.34</v>
      </c>
      <c r="M1037" t="str" cm="1">
        <f t="array" ref="M1037">_xlfn.IFS(A1037&lt;30,"Young",A1037&lt;=50,"Adult",A1037&gt;50,"Senior")</f>
        <v>Senior</v>
      </c>
    </row>
    <row r="1038" spans="1:13" x14ac:dyDescent="0.3">
      <c r="A1038">
        <v>22</v>
      </c>
      <c r="B1038" t="s">
        <v>12</v>
      </c>
      <c r="C1038">
        <v>37.07</v>
      </c>
      <c r="D1038">
        <v>2</v>
      </c>
      <c r="E1038" t="s">
        <v>18</v>
      </c>
      <c r="F1038" t="s">
        <v>7</v>
      </c>
      <c r="G1038">
        <v>37484.4493</v>
      </c>
      <c r="H1038">
        <v>131.30000000000001</v>
      </c>
      <c r="I1038" t="s">
        <v>1</v>
      </c>
      <c r="J1038" t="b">
        <v>1</v>
      </c>
      <c r="K1038" t="s">
        <v>14</v>
      </c>
      <c r="L1038">
        <v>97272.63</v>
      </c>
      <c r="M1038" t="str" cm="1">
        <f t="array" ref="M1038">_xlfn.IFS(A1038&lt;30,"Young",A1038&lt;=50,"Adult",A1038&gt;50,"Senior")</f>
        <v>Young</v>
      </c>
    </row>
    <row r="1039" spans="1:13" x14ac:dyDescent="0.3">
      <c r="A1039">
        <v>45</v>
      </c>
      <c r="B1039" t="s">
        <v>11</v>
      </c>
      <c r="C1039">
        <v>30.495000000000001</v>
      </c>
      <c r="D1039">
        <v>1</v>
      </c>
      <c r="E1039" t="s">
        <v>18</v>
      </c>
      <c r="F1039" t="s">
        <v>8</v>
      </c>
      <c r="G1039">
        <v>39725.518049999999</v>
      </c>
      <c r="H1039">
        <v>119.3</v>
      </c>
      <c r="I1039" t="s">
        <v>3</v>
      </c>
      <c r="J1039" t="b">
        <v>0</v>
      </c>
      <c r="K1039" t="s">
        <v>15</v>
      </c>
      <c r="L1039">
        <v>153804.29</v>
      </c>
      <c r="M1039" t="str" cm="1">
        <f t="array" ref="M1039">_xlfn.IFS(A1039&lt;30,"Young",A1039&lt;=50,"Adult",A1039&gt;50,"Senior")</f>
        <v>Adult</v>
      </c>
    </row>
    <row r="1040" spans="1:13" x14ac:dyDescent="0.3">
      <c r="A1040">
        <v>22</v>
      </c>
      <c r="B1040" t="s">
        <v>12</v>
      </c>
      <c r="C1040">
        <v>28.88</v>
      </c>
      <c r="D1040">
        <v>0</v>
      </c>
      <c r="E1040" t="s">
        <v>19</v>
      </c>
      <c r="F1040" t="s">
        <v>9</v>
      </c>
      <c r="G1040">
        <v>2250.8352</v>
      </c>
      <c r="H1040">
        <v>139.80000000000001</v>
      </c>
      <c r="I1040" t="s">
        <v>1</v>
      </c>
      <c r="J1040" t="b">
        <v>1</v>
      </c>
      <c r="K1040" t="s">
        <v>14</v>
      </c>
      <c r="L1040">
        <v>99544.16</v>
      </c>
      <c r="M1040" t="str" cm="1">
        <f t="array" ref="M1040">_xlfn.IFS(A1040&lt;30,"Young",A1040&lt;=50,"Adult",A1040&gt;50,"Senior")</f>
        <v>Young</v>
      </c>
    </row>
    <row r="1041" spans="1:13" x14ac:dyDescent="0.3">
      <c r="A1041">
        <v>19</v>
      </c>
      <c r="B1041" t="s">
        <v>12</v>
      </c>
      <c r="C1041">
        <v>27.265000000000001</v>
      </c>
      <c r="D1041">
        <v>2</v>
      </c>
      <c r="E1041" t="s">
        <v>19</v>
      </c>
      <c r="F1041" t="s">
        <v>8</v>
      </c>
      <c r="G1041">
        <v>22493.659640000002</v>
      </c>
      <c r="H1041">
        <v>119.9</v>
      </c>
      <c r="I1041" t="s">
        <v>1</v>
      </c>
      <c r="J1041" t="b">
        <v>1</v>
      </c>
      <c r="K1041" t="s">
        <v>16</v>
      </c>
      <c r="L1041">
        <v>173553.16</v>
      </c>
      <c r="M1041" t="str" cm="1">
        <f t="array" ref="M1041">_xlfn.IFS(A1041&lt;30,"Young",A1041&lt;=50,"Adult",A1041&gt;50,"Senior")</f>
        <v>Young</v>
      </c>
    </row>
    <row r="1042" spans="1:13" x14ac:dyDescent="0.3">
      <c r="A1042">
        <v>35</v>
      </c>
      <c r="B1042" t="s">
        <v>11</v>
      </c>
      <c r="C1042">
        <v>28.024999999999999</v>
      </c>
      <c r="D1042">
        <v>0</v>
      </c>
      <c r="E1042" t="s">
        <v>18</v>
      </c>
      <c r="F1042" t="s">
        <v>8</v>
      </c>
      <c r="G1042">
        <v>20234.854749999999</v>
      </c>
      <c r="H1042">
        <v>119.9</v>
      </c>
      <c r="I1042" t="s">
        <v>3</v>
      </c>
      <c r="J1042" t="b">
        <v>0</v>
      </c>
      <c r="K1042" t="s">
        <v>15</v>
      </c>
      <c r="L1042">
        <v>112067.5</v>
      </c>
      <c r="M1042" t="str" cm="1">
        <f t="array" ref="M1042">_xlfn.IFS(A1042&lt;30,"Young",A1042&lt;=50,"Adult",A1042&gt;50,"Senior")</f>
        <v>Adult</v>
      </c>
    </row>
    <row r="1043" spans="1:13" x14ac:dyDescent="0.3">
      <c r="A1043">
        <v>18</v>
      </c>
      <c r="B1043" t="s">
        <v>12</v>
      </c>
      <c r="C1043">
        <v>23.085000000000001</v>
      </c>
      <c r="D1043">
        <v>0</v>
      </c>
      <c r="E1043" t="s">
        <v>19</v>
      </c>
      <c r="F1043" t="s">
        <v>9</v>
      </c>
      <c r="G1043">
        <v>1704.7001499999999</v>
      </c>
      <c r="H1043">
        <v>123.7</v>
      </c>
      <c r="I1043" t="s">
        <v>1</v>
      </c>
      <c r="J1043" t="b">
        <v>1</v>
      </c>
      <c r="K1043" t="s">
        <v>15</v>
      </c>
      <c r="L1043">
        <v>70780.97</v>
      </c>
      <c r="M1043" t="str" cm="1">
        <f t="array" ref="M1043">_xlfn.IFS(A1043&lt;30,"Young",A1043&lt;=50,"Adult",A1043&gt;50,"Senior")</f>
        <v>Young</v>
      </c>
    </row>
    <row r="1044" spans="1:13" x14ac:dyDescent="0.3">
      <c r="A1044">
        <v>20</v>
      </c>
      <c r="B1044" t="s">
        <v>12</v>
      </c>
      <c r="C1044">
        <v>30.684999999999999</v>
      </c>
      <c r="D1044">
        <v>0</v>
      </c>
      <c r="E1044" t="s">
        <v>18</v>
      </c>
      <c r="F1044" t="s">
        <v>9</v>
      </c>
      <c r="G1044">
        <v>33475.817150000003</v>
      </c>
      <c r="H1044">
        <v>138.69999999999999</v>
      </c>
      <c r="I1044" t="s">
        <v>0</v>
      </c>
      <c r="J1044" t="b">
        <v>0</v>
      </c>
      <c r="K1044" t="s">
        <v>16</v>
      </c>
      <c r="L1044">
        <v>173461.35</v>
      </c>
      <c r="M1044" t="str" cm="1">
        <f t="array" ref="M1044">_xlfn.IFS(A1044&lt;30,"Young",A1044&lt;=50,"Adult",A1044&gt;50,"Senior")</f>
        <v>Young</v>
      </c>
    </row>
    <row r="1045" spans="1:13" x14ac:dyDescent="0.3">
      <c r="A1045">
        <v>28</v>
      </c>
      <c r="B1045" t="s">
        <v>11</v>
      </c>
      <c r="C1045">
        <v>25.8</v>
      </c>
      <c r="D1045">
        <v>0</v>
      </c>
      <c r="E1045" t="s">
        <v>19</v>
      </c>
      <c r="F1045" t="s">
        <v>6</v>
      </c>
      <c r="G1045">
        <v>3161.4540000000002</v>
      </c>
      <c r="H1045">
        <v>128.19999999999999</v>
      </c>
      <c r="I1045" t="s">
        <v>1</v>
      </c>
      <c r="J1045" t="b">
        <v>1</v>
      </c>
      <c r="K1045" t="s">
        <v>14</v>
      </c>
      <c r="L1045">
        <v>195918.43</v>
      </c>
      <c r="M1045" t="str" cm="1">
        <f t="array" ref="M1045">_xlfn.IFS(A1045&lt;30,"Young",A1045&lt;=50,"Adult",A1045&gt;50,"Senior")</f>
        <v>Young</v>
      </c>
    </row>
    <row r="1046" spans="1:13" x14ac:dyDescent="0.3">
      <c r="A1046">
        <v>55</v>
      </c>
      <c r="B1046" t="s">
        <v>12</v>
      </c>
      <c r="C1046">
        <v>35.244999999999997</v>
      </c>
      <c r="D1046">
        <v>1</v>
      </c>
      <c r="E1046" t="s">
        <v>19</v>
      </c>
      <c r="F1046" t="s">
        <v>9</v>
      </c>
      <c r="G1046">
        <v>11394.065549999999</v>
      </c>
      <c r="H1046">
        <v>120.5</v>
      </c>
      <c r="I1046" t="s">
        <v>3</v>
      </c>
      <c r="J1046" t="b">
        <v>0</v>
      </c>
      <c r="K1046" t="s">
        <v>15</v>
      </c>
      <c r="L1046">
        <v>190925.05</v>
      </c>
      <c r="M1046" t="str" cm="1">
        <f t="array" ref="M1046">_xlfn.IFS(A1046&lt;30,"Young",A1046&lt;=50,"Adult",A1046&gt;50,"Senior")</f>
        <v>Senior</v>
      </c>
    </row>
    <row r="1047" spans="1:13" x14ac:dyDescent="0.3">
      <c r="A1047">
        <v>43</v>
      </c>
      <c r="B1047" t="s">
        <v>11</v>
      </c>
      <c r="C1047">
        <v>24.7</v>
      </c>
      <c r="D1047">
        <v>2</v>
      </c>
      <c r="E1047" t="s">
        <v>18</v>
      </c>
      <c r="F1047" t="s">
        <v>8</v>
      </c>
      <c r="G1047">
        <v>21880.82</v>
      </c>
      <c r="H1047">
        <v>121.9</v>
      </c>
      <c r="I1047" t="s">
        <v>2</v>
      </c>
      <c r="J1047" t="b">
        <v>1</v>
      </c>
      <c r="K1047" t="s">
        <v>16</v>
      </c>
      <c r="L1047">
        <v>55603.02</v>
      </c>
      <c r="M1047" t="str" cm="1">
        <f t="array" ref="M1047">_xlfn.IFS(A1047&lt;30,"Young",A1047&lt;=50,"Adult",A1047&gt;50,"Senior")</f>
        <v>Adult</v>
      </c>
    </row>
    <row r="1048" spans="1:13" x14ac:dyDescent="0.3">
      <c r="A1048">
        <v>43</v>
      </c>
      <c r="B1048" t="s">
        <v>11</v>
      </c>
      <c r="C1048">
        <v>25.08</v>
      </c>
      <c r="D1048">
        <v>0</v>
      </c>
      <c r="E1048" t="s">
        <v>19</v>
      </c>
      <c r="F1048" t="s">
        <v>9</v>
      </c>
      <c r="G1048">
        <v>7325.0482000000002</v>
      </c>
      <c r="H1048">
        <v>130.9</v>
      </c>
      <c r="I1048" t="s">
        <v>1</v>
      </c>
      <c r="J1048" t="b">
        <v>1</v>
      </c>
      <c r="K1048" t="s">
        <v>15</v>
      </c>
      <c r="L1048">
        <v>35846.480000000003</v>
      </c>
      <c r="M1048" t="str" cm="1">
        <f t="array" ref="M1048">_xlfn.IFS(A1048&lt;30,"Young",A1048&lt;=50,"Adult",A1048&gt;50,"Senior")</f>
        <v>Adult</v>
      </c>
    </row>
    <row r="1049" spans="1:13" x14ac:dyDescent="0.3">
      <c r="A1049">
        <v>22</v>
      </c>
      <c r="B1049" t="s">
        <v>12</v>
      </c>
      <c r="C1049">
        <v>52.58</v>
      </c>
      <c r="D1049">
        <v>1</v>
      </c>
      <c r="E1049" t="s">
        <v>18</v>
      </c>
      <c r="F1049" t="s">
        <v>7</v>
      </c>
      <c r="G1049">
        <v>44501.398200000003</v>
      </c>
      <c r="H1049">
        <v>127.5</v>
      </c>
      <c r="I1049" t="s">
        <v>2</v>
      </c>
      <c r="J1049" t="b">
        <v>0</v>
      </c>
      <c r="K1049" t="s">
        <v>16</v>
      </c>
      <c r="L1049">
        <v>173039.73</v>
      </c>
      <c r="M1049" t="str" cm="1">
        <f t="array" ref="M1049">_xlfn.IFS(A1049&lt;30,"Young",A1049&lt;=50,"Adult",A1049&gt;50,"Senior")</f>
        <v>Young</v>
      </c>
    </row>
    <row r="1050" spans="1:13" x14ac:dyDescent="0.3">
      <c r="A1050">
        <v>25</v>
      </c>
      <c r="B1050" t="s">
        <v>11</v>
      </c>
      <c r="C1050">
        <v>22.515000000000001</v>
      </c>
      <c r="D1050">
        <v>1</v>
      </c>
      <c r="E1050" t="s">
        <v>19</v>
      </c>
      <c r="F1050" t="s">
        <v>8</v>
      </c>
      <c r="G1050">
        <v>3594.17085</v>
      </c>
      <c r="H1050">
        <v>133.69999999999999</v>
      </c>
      <c r="I1050" t="s">
        <v>1</v>
      </c>
      <c r="J1050" t="b">
        <v>1</v>
      </c>
      <c r="K1050" t="s">
        <v>14</v>
      </c>
      <c r="L1050">
        <v>130451.62</v>
      </c>
      <c r="M1050" t="str" cm="1">
        <f t="array" ref="M1050">_xlfn.IFS(A1050&lt;30,"Young",A1050&lt;=50,"Adult",A1050&gt;50,"Senior")</f>
        <v>Young</v>
      </c>
    </row>
    <row r="1051" spans="1:13" x14ac:dyDescent="0.3">
      <c r="A1051">
        <v>49</v>
      </c>
      <c r="B1051" t="s">
        <v>12</v>
      </c>
      <c r="C1051">
        <v>30.9</v>
      </c>
      <c r="D1051">
        <v>0</v>
      </c>
      <c r="E1051" t="s">
        <v>18</v>
      </c>
      <c r="F1051" t="s">
        <v>6</v>
      </c>
      <c r="G1051">
        <v>39727.614000000001</v>
      </c>
      <c r="H1051">
        <v>129.80000000000001</v>
      </c>
      <c r="I1051" t="s">
        <v>3</v>
      </c>
      <c r="J1051" t="b">
        <v>0</v>
      </c>
      <c r="K1051" t="s">
        <v>16</v>
      </c>
      <c r="L1051">
        <v>133404.57999999999</v>
      </c>
      <c r="M1051" t="str" cm="1">
        <f t="array" ref="M1051">_xlfn.IFS(A1051&lt;30,"Young",A1051&lt;=50,"Adult",A1051&gt;50,"Senior")</f>
        <v>Adult</v>
      </c>
    </row>
    <row r="1052" spans="1:13" x14ac:dyDescent="0.3">
      <c r="A1052">
        <v>44</v>
      </c>
      <c r="B1052" t="s">
        <v>11</v>
      </c>
      <c r="C1052">
        <v>36.954999999999998</v>
      </c>
      <c r="D1052">
        <v>1</v>
      </c>
      <c r="E1052" t="s">
        <v>19</v>
      </c>
      <c r="F1052" t="s">
        <v>8</v>
      </c>
      <c r="G1052">
        <v>8023.1354499999998</v>
      </c>
      <c r="H1052">
        <v>128.5</v>
      </c>
      <c r="I1052" t="s">
        <v>3</v>
      </c>
      <c r="J1052" t="b">
        <v>1</v>
      </c>
      <c r="K1052" t="s">
        <v>14</v>
      </c>
      <c r="L1052">
        <v>172707.12</v>
      </c>
      <c r="M1052" t="str" cm="1">
        <f t="array" ref="M1052">_xlfn.IFS(A1052&lt;30,"Young",A1052&lt;=50,"Adult",A1052&gt;50,"Senior")</f>
        <v>Adult</v>
      </c>
    </row>
    <row r="1053" spans="1:13" x14ac:dyDescent="0.3">
      <c r="A1053">
        <v>64</v>
      </c>
      <c r="B1053" t="s">
        <v>12</v>
      </c>
      <c r="C1053">
        <v>26.41</v>
      </c>
      <c r="D1053">
        <v>0</v>
      </c>
      <c r="E1053" t="s">
        <v>19</v>
      </c>
      <c r="F1053" t="s">
        <v>9</v>
      </c>
      <c r="G1053">
        <v>14394.5579</v>
      </c>
      <c r="H1053">
        <v>119</v>
      </c>
      <c r="I1053" t="s">
        <v>1</v>
      </c>
      <c r="J1053" t="b">
        <v>0</v>
      </c>
      <c r="K1053" t="s">
        <v>15</v>
      </c>
      <c r="L1053">
        <v>194248.52</v>
      </c>
      <c r="M1053" t="str" cm="1">
        <f t="array" ref="M1053">_xlfn.IFS(A1053&lt;30,"Young",A1053&lt;=50,"Adult",A1053&gt;50,"Senior")</f>
        <v>Senior</v>
      </c>
    </row>
    <row r="1054" spans="1:13" x14ac:dyDescent="0.3">
      <c r="A1054">
        <v>49</v>
      </c>
      <c r="B1054" t="s">
        <v>12</v>
      </c>
      <c r="C1054">
        <v>29.83</v>
      </c>
      <c r="D1054">
        <v>1</v>
      </c>
      <c r="E1054" t="s">
        <v>19</v>
      </c>
      <c r="F1054" t="s">
        <v>9</v>
      </c>
      <c r="G1054">
        <v>9288.0267000000003</v>
      </c>
      <c r="H1054">
        <v>112.2</v>
      </c>
      <c r="I1054" t="s">
        <v>3</v>
      </c>
      <c r="J1054" t="b">
        <v>1</v>
      </c>
      <c r="K1054" t="s">
        <v>16</v>
      </c>
      <c r="L1054">
        <v>40365.599999999999</v>
      </c>
      <c r="M1054" t="str" cm="1">
        <f t="array" ref="M1054">_xlfn.IFS(A1054&lt;30,"Young",A1054&lt;=50,"Adult",A1054&gt;50,"Senior")</f>
        <v>Adult</v>
      </c>
    </row>
    <row r="1055" spans="1:13" x14ac:dyDescent="0.3">
      <c r="A1055">
        <v>47</v>
      </c>
      <c r="B1055" t="s">
        <v>12</v>
      </c>
      <c r="C1055">
        <v>29.8</v>
      </c>
      <c r="D1055">
        <v>3</v>
      </c>
      <c r="E1055" t="s">
        <v>18</v>
      </c>
      <c r="F1055" t="s">
        <v>6</v>
      </c>
      <c r="G1055">
        <v>25309.489000000001</v>
      </c>
      <c r="H1055">
        <v>137.5</v>
      </c>
      <c r="I1055" t="s">
        <v>1</v>
      </c>
      <c r="J1055" t="b">
        <v>1</v>
      </c>
      <c r="K1055" t="s">
        <v>15</v>
      </c>
      <c r="L1055">
        <v>32464.45</v>
      </c>
      <c r="M1055" t="str" cm="1">
        <f t="array" ref="M1055">_xlfn.IFS(A1055&lt;30,"Young",A1055&lt;=50,"Adult",A1055&gt;50,"Senior")</f>
        <v>Adult</v>
      </c>
    </row>
    <row r="1056" spans="1:13" x14ac:dyDescent="0.3">
      <c r="A1056">
        <v>27</v>
      </c>
      <c r="B1056" t="s">
        <v>11</v>
      </c>
      <c r="C1056">
        <v>21.47</v>
      </c>
      <c r="D1056">
        <v>0</v>
      </c>
      <c r="E1056" t="s">
        <v>19</v>
      </c>
      <c r="F1056" t="s">
        <v>8</v>
      </c>
      <c r="G1056">
        <v>3353.4703</v>
      </c>
      <c r="H1056">
        <v>134.30000000000001</v>
      </c>
      <c r="I1056" t="s">
        <v>0</v>
      </c>
      <c r="J1056" t="b">
        <v>0</v>
      </c>
      <c r="K1056" t="s">
        <v>15</v>
      </c>
      <c r="L1056">
        <v>139844.95000000001</v>
      </c>
      <c r="M1056" t="str" cm="1">
        <f t="array" ref="M1056">_xlfn.IFS(A1056&lt;30,"Young",A1056&lt;=50,"Adult",A1056&gt;50,"Senior")</f>
        <v>Young</v>
      </c>
    </row>
    <row r="1057" spans="1:13" x14ac:dyDescent="0.3">
      <c r="A1057">
        <v>55</v>
      </c>
      <c r="B1057" t="s">
        <v>12</v>
      </c>
      <c r="C1057">
        <v>27.645</v>
      </c>
      <c r="D1057">
        <v>0</v>
      </c>
      <c r="E1057" t="s">
        <v>19</v>
      </c>
      <c r="F1057" t="s">
        <v>8</v>
      </c>
      <c r="G1057">
        <v>10594.501550000001</v>
      </c>
      <c r="H1057">
        <v>137.30000000000001</v>
      </c>
      <c r="I1057" t="s">
        <v>0</v>
      </c>
      <c r="J1057" t="b">
        <v>0</v>
      </c>
      <c r="K1057" t="s">
        <v>14</v>
      </c>
      <c r="L1057">
        <v>194192.01</v>
      </c>
      <c r="M1057" t="str" cm="1">
        <f t="array" ref="M1057">_xlfn.IFS(A1057&lt;30,"Young",A1057&lt;=50,"Adult",A1057&gt;50,"Senior")</f>
        <v>Senior</v>
      </c>
    </row>
    <row r="1058" spans="1:13" x14ac:dyDescent="0.3">
      <c r="A1058">
        <v>48</v>
      </c>
      <c r="B1058" t="s">
        <v>11</v>
      </c>
      <c r="C1058">
        <v>28.9</v>
      </c>
      <c r="D1058">
        <v>0</v>
      </c>
      <c r="E1058" t="s">
        <v>19</v>
      </c>
      <c r="F1058" t="s">
        <v>6</v>
      </c>
      <c r="G1058">
        <v>8277.5229999999992</v>
      </c>
      <c r="H1058">
        <v>138.1</v>
      </c>
      <c r="I1058" t="s">
        <v>1</v>
      </c>
      <c r="J1058" t="b">
        <v>1</v>
      </c>
      <c r="K1058" t="s">
        <v>16</v>
      </c>
      <c r="L1058">
        <v>53790.39</v>
      </c>
      <c r="M1058" t="str" cm="1">
        <f t="array" ref="M1058">_xlfn.IFS(A1058&lt;30,"Young",A1058&lt;=50,"Adult",A1058&gt;50,"Senior")</f>
        <v>Adult</v>
      </c>
    </row>
    <row r="1059" spans="1:13" x14ac:dyDescent="0.3">
      <c r="A1059">
        <v>45</v>
      </c>
      <c r="B1059" t="s">
        <v>11</v>
      </c>
      <c r="C1059">
        <v>31.79</v>
      </c>
      <c r="D1059">
        <v>0</v>
      </c>
      <c r="E1059" t="s">
        <v>19</v>
      </c>
      <c r="F1059" t="s">
        <v>7</v>
      </c>
      <c r="G1059">
        <v>17929.303370000001</v>
      </c>
      <c r="H1059">
        <v>126.2</v>
      </c>
      <c r="I1059" t="s">
        <v>2</v>
      </c>
      <c r="J1059" t="b">
        <v>0</v>
      </c>
      <c r="K1059" t="s">
        <v>14</v>
      </c>
      <c r="L1059">
        <v>57253.49</v>
      </c>
      <c r="M1059" t="str" cm="1">
        <f t="array" ref="M1059">_xlfn.IFS(A1059&lt;30,"Young",A1059&lt;=50,"Adult",A1059&gt;50,"Senior")</f>
        <v>Adult</v>
      </c>
    </row>
    <row r="1060" spans="1:13" x14ac:dyDescent="0.3">
      <c r="A1060">
        <v>24</v>
      </c>
      <c r="B1060" t="s">
        <v>11</v>
      </c>
      <c r="C1060">
        <v>39.49</v>
      </c>
      <c r="D1060">
        <v>0</v>
      </c>
      <c r="E1060" t="s">
        <v>19</v>
      </c>
      <c r="F1060" t="s">
        <v>7</v>
      </c>
      <c r="G1060">
        <v>2480.9791</v>
      </c>
      <c r="H1060">
        <v>110.8</v>
      </c>
      <c r="I1060" t="s">
        <v>0</v>
      </c>
      <c r="J1060" t="b">
        <v>0</v>
      </c>
      <c r="K1060" t="s">
        <v>14</v>
      </c>
      <c r="L1060">
        <v>185824.89</v>
      </c>
      <c r="M1060" t="str" cm="1">
        <f t="array" ref="M1060">_xlfn.IFS(A1060&lt;30,"Young",A1060&lt;=50,"Adult",A1060&gt;50,"Senior")</f>
        <v>Young</v>
      </c>
    </row>
    <row r="1061" spans="1:13" x14ac:dyDescent="0.3">
      <c r="A1061">
        <v>32</v>
      </c>
      <c r="B1061" t="s">
        <v>12</v>
      </c>
      <c r="C1061">
        <v>33.82</v>
      </c>
      <c r="D1061">
        <v>1</v>
      </c>
      <c r="E1061" t="s">
        <v>19</v>
      </c>
      <c r="F1061" t="s">
        <v>8</v>
      </c>
      <c r="G1061">
        <v>4462.7218000000003</v>
      </c>
      <c r="H1061">
        <v>128.1</v>
      </c>
      <c r="I1061" t="s">
        <v>0</v>
      </c>
      <c r="J1061" t="b">
        <v>0</v>
      </c>
      <c r="K1061" t="s">
        <v>15</v>
      </c>
      <c r="L1061">
        <v>109800.18</v>
      </c>
      <c r="M1061" t="str" cm="1">
        <f t="array" ref="M1061">_xlfn.IFS(A1061&lt;30,"Young",A1061&lt;=50,"Adult",A1061&gt;50,"Senior")</f>
        <v>Adult</v>
      </c>
    </row>
    <row r="1062" spans="1:13" x14ac:dyDescent="0.3">
      <c r="A1062">
        <v>24</v>
      </c>
      <c r="B1062" t="s">
        <v>12</v>
      </c>
      <c r="C1062">
        <v>32.01</v>
      </c>
      <c r="D1062">
        <v>0</v>
      </c>
      <c r="E1062" t="s">
        <v>19</v>
      </c>
      <c r="F1062" t="s">
        <v>7</v>
      </c>
      <c r="G1062">
        <v>1981.5818999999999</v>
      </c>
      <c r="H1062">
        <v>129.9</v>
      </c>
      <c r="I1062" t="s">
        <v>3</v>
      </c>
      <c r="J1062" t="b">
        <v>1</v>
      </c>
      <c r="K1062" t="s">
        <v>14</v>
      </c>
      <c r="L1062">
        <v>180499.31</v>
      </c>
      <c r="M1062" t="str" cm="1">
        <f t="array" ref="M1062">_xlfn.IFS(A1062&lt;30,"Young",A1062&lt;=50,"Adult",A1062&gt;50,"Senior")</f>
        <v>Young</v>
      </c>
    </row>
    <row r="1063" spans="1:13" x14ac:dyDescent="0.3">
      <c r="A1063">
        <v>57</v>
      </c>
      <c r="B1063" t="s">
        <v>12</v>
      </c>
      <c r="C1063">
        <v>27.94</v>
      </c>
      <c r="D1063">
        <v>1</v>
      </c>
      <c r="E1063" t="s">
        <v>19</v>
      </c>
      <c r="F1063" t="s">
        <v>7</v>
      </c>
      <c r="G1063">
        <v>11554.223599999999</v>
      </c>
      <c r="H1063">
        <v>138.80000000000001</v>
      </c>
      <c r="I1063" t="s">
        <v>2</v>
      </c>
      <c r="J1063" t="b">
        <v>1</v>
      </c>
      <c r="K1063" t="s">
        <v>15</v>
      </c>
      <c r="L1063">
        <v>48378.49</v>
      </c>
      <c r="M1063" t="str" cm="1">
        <f t="array" ref="M1063">_xlfn.IFS(A1063&lt;30,"Young",A1063&lt;=50,"Adult",A1063&gt;50,"Senior")</f>
        <v>Senior</v>
      </c>
    </row>
    <row r="1064" spans="1:13" x14ac:dyDescent="0.3">
      <c r="A1064">
        <v>59</v>
      </c>
      <c r="B1064" t="s">
        <v>12</v>
      </c>
      <c r="C1064">
        <v>41.14</v>
      </c>
      <c r="D1064">
        <v>1</v>
      </c>
      <c r="E1064" t="s">
        <v>18</v>
      </c>
      <c r="F1064" t="s">
        <v>7</v>
      </c>
      <c r="G1064">
        <v>48970.247600000002</v>
      </c>
      <c r="H1064">
        <v>136.9</v>
      </c>
      <c r="I1064" t="s">
        <v>2</v>
      </c>
      <c r="J1064" t="b">
        <v>0</v>
      </c>
      <c r="K1064" t="s">
        <v>16</v>
      </c>
      <c r="L1064">
        <v>190537.60000000001</v>
      </c>
      <c r="M1064" t="str" cm="1">
        <f t="array" ref="M1064">_xlfn.IFS(A1064&lt;30,"Young",A1064&lt;=50,"Adult",A1064&gt;50,"Senior")</f>
        <v>Senior</v>
      </c>
    </row>
    <row r="1065" spans="1:13" x14ac:dyDescent="0.3">
      <c r="A1065">
        <v>36</v>
      </c>
      <c r="B1065" t="s">
        <v>12</v>
      </c>
      <c r="C1065">
        <v>28.594999999999999</v>
      </c>
      <c r="D1065">
        <v>3</v>
      </c>
      <c r="E1065" t="s">
        <v>19</v>
      </c>
      <c r="F1065" t="s">
        <v>8</v>
      </c>
      <c r="G1065">
        <v>6548.1950500000003</v>
      </c>
      <c r="H1065">
        <v>126</v>
      </c>
      <c r="I1065" t="s">
        <v>3</v>
      </c>
      <c r="J1065" t="b">
        <v>1</v>
      </c>
      <c r="K1065" t="s">
        <v>14</v>
      </c>
      <c r="L1065">
        <v>83822.2</v>
      </c>
      <c r="M1065" t="str" cm="1">
        <f t="array" ref="M1065">_xlfn.IFS(A1065&lt;30,"Young",A1065&lt;=50,"Adult",A1065&gt;50,"Senior")</f>
        <v>Adult</v>
      </c>
    </row>
    <row r="1066" spans="1:13" x14ac:dyDescent="0.3">
      <c r="A1066">
        <v>29</v>
      </c>
      <c r="B1066" t="s">
        <v>11</v>
      </c>
      <c r="C1066">
        <v>25.6</v>
      </c>
      <c r="D1066">
        <v>4</v>
      </c>
      <c r="E1066" t="s">
        <v>19</v>
      </c>
      <c r="F1066" t="s">
        <v>6</v>
      </c>
      <c r="G1066">
        <v>5708.8670000000002</v>
      </c>
      <c r="H1066">
        <v>114.4</v>
      </c>
      <c r="I1066" t="s">
        <v>0</v>
      </c>
      <c r="J1066" t="b">
        <v>1</v>
      </c>
      <c r="K1066" t="s">
        <v>15</v>
      </c>
      <c r="L1066">
        <v>195853.95</v>
      </c>
      <c r="M1066" t="str" cm="1">
        <f t="array" ref="M1066">_xlfn.IFS(A1066&lt;30,"Young",A1066&lt;=50,"Adult",A1066&gt;50,"Senior")</f>
        <v>Young</v>
      </c>
    </row>
    <row r="1067" spans="1:13" x14ac:dyDescent="0.3">
      <c r="A1067">
        <v>42</v>
      </c>
      <c r="B1067" t="s">
        <v>11</v>
      </c>
      <c r="C1067">
        <v>25.3</v>
      </c>
      <c r="D1067">
        <v>1</v>
      </c>
      <c r="E1067" t="s">
        <v>19</v>
      </c>
      <c r="F1067" t="s">
        <v>6</v>
      </c>
      <c r="G1067">
        <v>7045.4989999999998</v>
      </c>
      <c r="H1067">
        <v>134.6</v>
      </c>
      <c r="I1067" t="s">
        <v>3</v>
      </c>
      <c r="J1067" t="b">
        <v>1</v>
      </c>
      <c r="K1067" t="s">
        <v>15</v>
      </c>
      <c r="L1067">
        <v>100685.63</v>
      </c>
      <c r="M1067" t="str" cm="1">
        <f t="array" ref="M1067">_xlfn.IFS(A1067&lt;30,"Young",A1067&lt;=50,"Adult",A1067&gt;50,"Senior")</f>
        <v>Adult</v>
      </c>
    </row>
    <row r="1068" spans="1:13" x14ac:dyDescent="0.3">
      <c r="A1068">
        <v>48</v>
      </c>
      <c r="B1068" t="s">
        <v>12</v>
      </c>
      <c r="C1068">
        <v>37.29</v>
      </c>
      <c r="D1068">
        <v>2</v>
      </c>
      <c r="E1068" t="s">
        <v>19</v>
      </c>
      <c r="F1068" t="s">
        <v>7</v>
      </c>
      <c r="G1068">
        <v>8978.1851000000006</v>
      </c>
      <c r="H1068">
        <v>132</v>
      </c>
      <c r="I1068" t="s">
        <v>3</v>
      </c>
      <c r="J1068" t="b">
        <v>0</v>
      </c>
      <c r="K1068" t="s">
        <v>14</v>
      </c>
      <c r="L1068">
        <v>76433.84</v>
      </c>
      <c r="M1068" t="str" cm="1">
        <f t="array" ref="M1068">_xlfn.IFS(A1068&lt;30,"Young",A1068&lt;=50,"Adult",A1068&gt;50,"Senior")</f>
        <v>Adult</v>
      </c>
    </row>
    <row r="1069" spans="1:13" x14ac:dyDescent="0.3">
      <c r="A1069">
        <v>39</v>
      </c>
      <c r="B1069" t="s">
        <v>12</v>
      </c>
      <c r="C1069">
        <v>42.655000000000001</v>
      </c>
      <c r="D1069">
        <v>0</v>
      </c>
      <c r="E1069" t="s">
        <v>19</v>
      </c>
      <c r="F1069" t="s">
        <v>9</v>
      </c>
      <c r="G1069">
        <v>5757.41345</v>
      </c>
      <c r="H1069">
        <v>136.9</v>
      </c>
      <c r="I1069" t="s">
        <v>1</v>
      </c>
      <c r="J1069" t="b">
        <v>0</v>
      </c>
      <c r="K1069" t="s">
        <v>15</v>
      </c>
      <c r="L1069">
        <v>174932.22</v>
      </c>
      <c r="M1069" t="str" cm="1">
        <f t="array" ref="M1069">_xlfn.IFS(A1069&lt;30,"Young",A1069&lt;=50,"Adult",A1069&gt;50,"Senior")</f>
        <v>Adult</v>
      </c>
    </row>
    <row r="1070" spans="1:13" x14ac:dyDescent="0.3">
      <c r="A1070">
        <v>63</v>
      </c>
      <c r="B1070" t="s">
        <v>12</v>
      </c>
      <c r="C1070">
        <v>21.66</v>
      </c>
      <c r="D1070">
        <v>1</v>
      </c>
      <c r="E1070" t="s">
        <v>19</v>
      </c>
      <c r="F1070" t="s">
        <v>8</v>
      </c>
      <c r="G1070">
        <v>14349.8544</v>
      </c>
      <c r="H1070">
        <v>115.2</v>
      </c>
      <c r="I1070" t="s">
        <v>3</v>
      </c>
      <c r="J1070" t="b">
        <v>1</v>
      </c>
      <c r="K1070" t="s">
        <v>14</v>
      </c>
      <c r="L1070">
        <v>177957.94</v>
      </c>
      <c r="M1070" t="str" cm="1">
        <f t="array" ref="M1070">_xlfn.IFS(A1070&lt;30,"Young",A1070&lt;=50,"Adult",A1070&gt;50,"Senior")</f>
        <v>Senior</v>
      </c>
    </row>
    <row r="1071" spans="1:13" x14ac:dyDescent="0.3">
      <c r="A1071">
        <v>54</v>
      </c>
      <c r="B1071" t="s">
        <v>11</v>
      </c>
      <c r="C1071">
        <v>31.9</v>
      </c>
      <c r="D1071">
        <v>1</v>
      </c>
      <c r="E1071" t="s">
        <v>19</v>
      </c>
      <c r="F1071" t="s">
        <v>7</v>
      </c>
      <c r="G1071">
        <v>10928.849</v>
      </c>
      <c r="H1071">
        <v>129.5</v>
      </c>
      <c r="I1071" t="s">
        <v>2</v>
      </c>
      <c r="J1071" t="b">
        <v>1</v>
      </c>
      <c r="K1071" t="s">
        <v>16</v>
      </c>
      <c r="L1071">
        <v>48636.84</v>
      </c>
      <c r="M1071" t="str" cm="1">
        <f t="array" ref="M1071">_xlfn.IFS(A1071&lt;30,"Young",A1071&lt;=50,"Adult",A1071&gt;50,"Senior")</f>
        <v>Senior</v>
      </c>
    </row>
    <row r="1072" spans="1:13" x14ac:dyDescent="0.3">
      <c r="A1072">
        <v>37</v>
      </c>
      <c r="B1072" t="s">
        <v>12</v>
      </c>
      <c r="C1072">
        <v>37.07</v>
      </c>
      <c r="D1072">
        <v>1</v>
      </c>
      <c r="E1072" t="s">
        <v>18</v>
      </c>
      <c r="F1072" t="s">
        <v>7</v>
      </c>
      <c r="G1072">
        <v>39871.704299999998</v>
      </c>
      <c r="H1072">
        <v>115.9</v>
      </c>
      <c r="I1072" t="s">
        <v>3</v>
      </c>
      <c r="J1072" t="b">
        <v>0</v>
      </c>
      <c r="K1072" t="s">
        <v>16</v>
      </c>
      <c r="L1072">
        <v>199601.02</v>
      </c>
      <c r="M1072" t="str" cm="1">
        <f t="array" ref="M1072">_xlfn.IFS(A1072&lt;30,"Young",A1072&lt;=50,"Adult",A1072&gt;50,"Senior")</f>
        <v>Adult</v>
      </c>
    </row>
    <row r="1073" spans="1:13" x14ac:dyDescent="0.3">
      <c r="A1073">
        <v>63</v>
      </c>
      <c r="B1073" t="s">
        <v>12</v>
      </c>
      <c r="C1073">
        <v>31.445</v>
      </c>
      <c r="D1073">
        <v>0</v>
      </c>
      <c r="E1073" t="s">
        <v>19</v>
      </c>
      <c r="F1073" t="s">
        <v>9</v>
      </c>
      <c r="G1073">
        <v>13974.455550000001</v>
      </c>
      <c r="H1073">
        <v>134.80000000000001</v>
      </c>
      <c r="I1073" t="s">
        <v>2</v>
      </c>
      <c r="J1073" t="b">
        <v>1</v>
      </c>
      <c r="K1073" t="s">
        <v>16</v>
      </c>
      <c r="L1073">
        <v>53242.06</v>
      </c>
      <c r="M1073" t="str" cm="1">
        <f t="array" ref="M1073">_xlfn.IFS(A1073&lt;30,"Young",A1073&lt;=50,"Adult",A1073&gt;50,"Senior")</f>
        <v>Senior</v>
      </c>
    </row>
    <row r="1074" spans="1:13" x14ac:dyDescent="0.3">
      <c r="A1074">
        <v>21</v>
      </c>
      <c r="B1074" t="s">
        <v>12</v>
      </c>
      <c r="C1074">
        <v>31.254999999999999</v>
      </c>
      <c r="D1074">
        <v>0</v>
      </c>
      <c r="E1074" t="s">
        <v>19</v>
      </c>
      <c r="F1074" t="s">
        <v>8</v>
      </c>
      <c r="G1074">
        <v>1909.52745</v>
      </c>
      <c r="H1074">
        <v>131.19999999999999</v>
      </c>
      <c r="I1074" t="s">
        <v>0</v>
      </c>
      <c r="J1074" t="b">
        <v>1</v>
      </c>
      <c r="K1074" t="s">
        <v>15</v>
      </c>
      <c r="L1074">
        <v>97673.66</v>
      </c>
      <c r="M1074" t="str" cm="1">
        <f t="array" ref="M1074">_xlfn.IFS(A1074&lt;30,"Young",A1074&lt;=50,"Adult",A1074&gt;50,"Senior")</f>
        <v>Young</v>
      </c>
    </row>
    <row r="1075" spans="1:13" x14ac:dyDescent="0.3">
      <c r="A1075">
        <v>54</v>
      </c>
      <c r="B1075" t="s">
        <v>11</v>
      </c>
      <c r="C1075">
        <v>28.88</v>
      </c>
      <c r="D1075">
        <v>2</v>
      </c>
      <c r="E1075" t="s">
        <v>19</v>
      </c>
      <c r="F1075" t="s">
        <v>9</v>
      </c>
      <c r="G1075">
        <v>12096.6512</v>
      </c>
      <c r="H1075">
        <v>124.7</v>
      </c>
      <c r="I1075" t="s">
        <v>2</v>
      </c>
      <c r="J1075" t="b">
        <v>1</v>
      </c>
      <c r="K1075" t="s">
        <v>16</v>
      </c>
      <c r="L1075">
        <v>103434.21</v>
      </c>
      <c r="M1075" t="str" cm="1">
        <f t="array" ref="M1075">_xlfn.IFS(A1075&lt;30,"Young",A1075&lt;=50,"Adult",A1075&gt;50,"Senior")</f>
        <v>Senior</v>
      </c>
    </row>
    <row r="1076" spans="1:13" x14ac:dyDescent="0.3">
      <c r="A1076">
        <v>60</v>
      </c>
      <c r="B1076" t="s">
        <v>11</v>
      </c>
      <c r="C1076">
        <v>18.335000000000001</v>
      </c>
      <c r="D1076">
        <v>0</v>
      </c>
      <c r="E1076" t="s">
        <v>19</v>
      </c>
      <c r="F1076" t="s">
        <v>9</v>
      </c>
      <c r="G1076">
        <v>13204.28565</v>
      </c>
      <c r="H1076">
        <v>117.9</v>
      </c>
      <c r="I1076" t="s">
        <v>0</v>
      </c>
      <c r="J1076" t="b">
        <v>0</v>
      </c>
      <c r="K1076" t="s">
        <v>15</v>
      </c>
      <c r="L1076">
        <v>57679.41</v>
      </c>
      <c r="M1076" t="str" cm="1">
        <f t="array" ref="M1076">_xlfn.IFS(A1076&lt;30,"Young",A1076&lt;=50,"Adult",A1076&gt;50,"Senior")</f>
        <v>Senior</v>
      </c>
    </row>
    <row r="1077" spans="1:13" x14ac:dyDescent="0.3">
      <c r="A1077">
        <v>32</v>
      </c>
      <c r="B1077" t="s">
        <v>11</v>
      </c>
      <c r="C1077">
        <v>29.59</v>
      </c>
      <c r="D1077">
        <v>1</v>
      </c>
      <c r="E1077" t="s">
        <v>19</v>
      </c>
      <c r="F1077" t="s">
        <v>7</v>
      </c>
      <c r="G1077">
        <v>4562.8420999999998</v>
      </c>
      <c r="H1077">
        <v>120.2</v>
      </c>
      <c r="I1077" t="s">
        <v>1</v>
      </c>
      <c r="J1077" t="b">
        <v>1</v>
      </c>
      <c r="K1077" t="s">
        <v>16</v>
      </c>
      <c r="L1077">
        <v>85359.08</v>
      </c>
      <c r="M1077" t="str" cm="1">
        <f t="array" ref="M1077">_xlfn.IFS(A1077&lt;30,"Young",A1077&lt;=50,"Adult",A1077&gt;50,"Senior")</f>
        <v>Adult</v>
      </c>
    </row>
    <row r="1078" spans="1:13" x14ac:dyDescent="0.3">
      <c r="A1078">
        <v>47</v>
      </c>
      <c r="B1078" t="s">
        <v>11</v>
      </c>
      <c r="C1078">
        <v>32</v>
      </c>
      <c r="D1078">
        <v>1</v>
      </c>
      <c r="E1078" t="s">
        <v>19</v>
      </c>
      <c r="F1078" t="s">
        <v>6</v>
      </c>
      <c r="G1078">
        <v>8551.3469999999998</v>
      </c>
      <c r="H1078">
        <v>118.1</v>
      </c>
      <c r="I1078" t="s">
        <v>3</v>
      </c>
      <c r="J1078" t="b">
        <v>1</v>
      </c>
      <c r="K1078" t="s">
        <v>16</v>
      </c>
      <c r="L1078">
        <v>161244.54999999999</v>
      </c>
      <c r="M1078" t="str" cm="1">
        <f t="array" ref="M1078">_xlfn.IFS(A1078&lt;30,"Young",A1078&lt;=50,"Adult",A1078&gt;50,"Senior")</f>
        <v>Adult</v>
      </c>
    </row>
    <row r="1079" spans="1:13" x14ac:dyDescent="0.3">
      <c r="A1079">
        <v>21</v>
      </c>
      <c r="B1079" t="s">
        <v>12</v>
      </c>
      <c r="C1079">
        <v>26.03</v>
      </c>
      <c r="D1079">
        <v>0</v>
      </c>
      <c r="E1079" t="s">
        <v>19</v>
      </c>
      <c r="F1079" t="s">
        <v>9</v>
      </c>
      <c r="G1079">
        <v>2102.2647000000002</v>
      </c>
      <c r="H1079">
        <v>131.4</v>
      </c>
      <c r="I1079" t="s">
        <v>0</v>
      </c>
      <c r="J1079" t="b">
        <v>0</v>
      </c>
      <c r="K1079" t="s">
        <v>15</v>
      </c>
      <c r="L1079">
        <v>52026.5</v>
      </c>
      <c r="M1079" t="str" cm="1">
        <f t="array" ref="M1079">_xlfn.IFS(A1079&lt;30,"Young",A1079&lt;=50,"Adult",A1079&gt;50,"Senior")</f>
        <v>Young</v>
      </c>
    </row>
    <row r="1080" spans="1:13" x14ac:dyDescent="0.3">
      <c r="A1080">
        <v>28</v>
      </c>
      <c r="B1080" t="s">
        <v>12</v>
      </c>
      <c r="C1080">
        <v>31.68</v>
      </c>
      <c r="D1080">
        <v>0</v>
      </c>
      <c r="E1080" t="s">
        <v>18</v>
      </c>
      <c r="F1080" t="s">
        <v>7</v>
      </c>
      <c r="G1080">
        <v>34672.147199999999</v>
      </c>
      <c r="H1080">
        <v>119.9</v>
      </c>
      <c r="I1080" t="s">
        <v>0</v>
      </c>
      <c r="J1080" t="b">
        <v>0</v>
      </c>
      <c r="K1080" t="s">
        <v>14</v>
      </c>
      <c r="L1080">
        <v>83747.59</v>
      </c>
      <c r="M1080" t="str" cm="1">
        <f t="array" ref="M1080">_xlfn.IFS(A1080&lt;30,"Young",A1080&lt;=50,"Adult",A1080&gt;50,"Senior")</f>
        <v>Young</v>
      </c>
    </row>
    <row r="1081" spans="1:13" x14ac:dyDescent="0.3">
      <c r="A1081">
        <v>63</v>
      </c>
      <c r="B1081" t="s">
        <v>12</v>
      </c>
      <c r="C1081">
        <v>33.659999999999997</v>
      </c>
      <c r="D1081">
        <v>3</v>
      </c>
      <c r="E1081" t="s">
        <v>19</v>
      </c>
      <c r="F1081" t="s">
        <v>7</v>
      </c>
      <c r="G1081">
        <v>15161.5344</v>
      </c>
      <c r="H1081">
        <v>111.2</v>
      </c>
      <c r="I1081" t="s">
        <v>1</v>
      </c>
      <c r="J1081" t="b">
        <v>1</v>
      </c>
      <c r="K1081" t="s">
        <v>16</v>
      </c>
      <c r="L1081">
        <v>96464.65</v>
      </c>
      <c r="M1081" t="str" cm="1">
        <f t="array" ref="M1081">_xlfn.IFS(A1081&lt;30,"Young",A1081&lt;=50,"Adult",A1081&gt;50,"Senior")</f>
        <v>Senior</v>
      </c>
    </row>
    <row r="1082" spans="1:13" x14ac:dyDescent="0.3">
      <c r="A1082">
        <v>18</v>
      </c>
      <c r="B1082" t="s">
        <v>12</v>
      </c>
      <c r="C1082">
        <v>21.78</v>
      </c>
      <c r="D1082">
        <v>2</v>
      </c>
      <c r="E1082" t="s">
        <v>19</v>
      </c>
      <c r="F1082" t="s">
        <v>7</v>
      </c>
      <c r="G1082">
        <v>11884.048580000001</v>
      </c>
      <c r="H1082">
        <v>111.1</v>
      </c>
      <c r="I1082" t="s">
        <v>3</v>
      </c>
      <c r="J1082" t="b">
        <v>0</v>
      </c>
      <c r="K1082" t="s">
        <v>14</v>
      </c>
      <c r="L1082">
        <v>134676.35</v>
      </c>
      <c r="M1082" t="str" cm="1">
        <f t="array" ref="M1082">_xlfn.IFS(A1082&lt;30,"Young",A1082&lt;=50,"Adult",A1082&gt;50,"Senior")</f>
        <v>Young</v>
      </c>
    </row>
    <row r="1083" spans="1:13" x14ac:dyDescent="0.3">
      <c r="A1083">
        <v>32</v>
      </c>
      <c r="B1083" t="s">
        <v>12</v>
      </c>
      <c r="C1083">
        <v>27.835000000000001</v>
      </c>
      <c r="D1083">
        <v>1</v>
      </c>
      <c r="E1083" t="s">
        <v>19</v>
      </c>
      <c r="F1083" t="s">
        <v>8</v>
      </c>
      <c r="G1083">
        <v>4454.40265</v>
      </c>
      <c r="H1083">
        <v>123.9</v>
      </c>
      <c r="I1083" t="s">
        <v>3</v>
      </c>
      <c r="J1083" t="b">
        <v>0</v>
      </c>
      <c r="K1083" t="s">
        <v>15</v>
      </c>
      <c r="L1083">
        <v>188625.88</v>
      </c>
      <c r="M1083" t="str" cm="1">
        <f t="array" ref="M1083">_xlfn.IFS(A1083&lt;30,"Young",A1083&lt;=50,"Adult",A1083&gt;50,"Senior")</f>
        <v>Adult</v>
      </c>
    </row>
    <row r="1084" spans="1:13" x14ac:dyDescent="0.3">
      <c r="A1084">
        <v>38</v>
      </c>
      <c r="B1084" t="s">
        <v>12</v>
      </c>
      <c r="C1084">
        <v>19.95</v>
      </c>
      <c r="D1084">
        <v>1</v>
      </c>
      <c r="E1084" t="s">
        <v>19</v>
      </c>
      <c r="F1084" t="s">
        <v>8</v>
      </c>
      <c r="G1084">
        <v>5855.9025000000001</v>
      </c>
      <c r="H1084">
        <v>133.69999999999999</v>
      </c>
      <c r="I1084" t="s">
        <v>0</v>
      </c>
      <c r="J1084" t="b">
        <v>1</v>
      </c>
      <c r="K1084" t="s">
        <v>14</v>
      </c>
      <c r="L1084">
        <v>193716.8</v>
      </c>
      <c r="M1084" t="str" cm="1">
        <f t="array" ref="M1084">_xlfn.IFS(A1084&lt;30,"Young",A1084&lt;=50,"Adult",A1084&gt;50,"Senior")</f>
        <v>Adult</v>
      </c>
    </row>
    <row r="1085" spans="1:13" x14ac:dyDescent="0.3">
      <c r="A1085">
        <v>32</v>
      </c>
      <c r="B1085" t="s">
        <v>12</v>
      </c>
      <c r="C1085">
        <v>31.5</v>
      </c>
      <c r="D1085">
        <v>1</v>
      </c>
      <c r="E1085" t="s">
        <v>19</v>
      </c>
      <c r="F1085" t="s">
        <v>6</v>
      </c>
      <c r="G1085">
        <v>4076.4969999999998</v>
      </c>
      <c r="H1085">
        <v>115.1</v>
      </c>
      <c r="I1085" t="s">
        <v>0</v>
      </c>
      <c r="J1085" t="b">
        <v>1</v>
      </c>
      <c r="K1085" t="s">
        <v>14</v>
      </c>
      <c r="L1085">
        <v>101617.52</v>
      </c>
      <c r="M1085" t="str" cm="1">
        <f t="array" ref="M1085">_xlfn.IFS(A1085&lt;30,"Young",A1085&lt;=50,"Adult",A1085&gt;50,"Senior")</f>
        <v>Adult</v>
      </c>
    </row>
    <row r="1086" spans="1:13" x14ac:dyDescent="0.3">
      <c r="A1086">
        <v>62</v>
      </c>
      <c r="B1086" t="s">
        <v>11</v>
      </c>
      <c r="C1086">
        <v>30.495000000000001</v>
      </c>
      <c r="D1086">
        <v>2</v>
      </c>
      <c r="E1086" t="s">
        <v>19</v>
      </c>
      <c r="F1086" t="s">
        <v>8</v>
      </c>
      <c r="G1086">
        <v>15019.760050000001</v>
      </c>
      <c r="H1086">
        <v>119.6</v>
      </c>
      <c r="I1086" t="s">
        <v>3</v>
      </c>
      <c r="J1086" t="b">
        <v>0</v>
      </c>
      <c r="K1086" t="s">
        <v>14</v>
      </c>
      <c r="L1086">
        <v>141544.01999999999</v>
      </c>
      <c r="M1086" t="str" cm="1">
        <f t="array" ref="M1086">_xlfn.IFS(A1086&lt;30,"Young",A1086&lt;=50,"Adult",A1086&gt;50,"Senior")</f>
        <v>Senior</v>
      </c>
    </row>
    <row r="1087" spans="1:13" x14ac:dyDescent="0.3">
      <c r="A1087">
        <v>39</v>
      </c>
      <c r="B1087" t="s">
        <v>11</v>
      </c>
      <c r="C1087">
        <v>18.3</v>
      </c>
      <c r="D1087">
        <v>5</v>
      </c>
      <c r="E1087" t="s">
        <v>18</v>
      </c>
      <c r="F1087" t="s">
        <v>6</v>
      </c>
      <c r="G1087">
        <v>19023.259999999998</v>
      </c>
      <c r="H1087">
        <v>135.1</v>
      </c>
      <c r="I1087" t="s">
        <v>1</v>
      </c>
      <c r="J1087" t="b">
        <v>0</v>
      </c>
      <c r="K1087" t="s">
        <v>15</v>
      </c>
      <c r="L1087">
        <v>113734.31</v>
      </c>
      <c r="M1087" t="str" cm="1">
        <f t="array" ref="M1087">_xlfn.IFS(A1087&lt;30,"Young",A1087&lt;=50,"Adult",A1087&gt;50,"Senior")</f>
        <v>Adult</v>
      </c>
    </row>
    <row r="1088" spans="1:13" x14ac:dyDescent="0.3">
      <c r="A1088">
        <v>55</v>
      </c>
      <c r="B1088" t="s">
        <v>12</v>
      </c>
      <c r="C1088">
        <v>28.975000000000001</v>
      </c>
      <c r="D1088">
        <v>0</v>
      </c>
      <c r="E1088" t="s">
        <v>19</v>
      </c>
      <c r="F1088" t="s">
        <v>9</v>
      </c>
      <c r="G1088">
        <v>10796.35025</v>
      </c>
      <c r="H1088">
        <v>127.5</v>
      </c>
      <c r="I1088" t="s">
        <v>3</v>
      </c>
      <c r="J1088" t="b">
        <v>0</v>
      </c>
      <c r="K1088" t="s">
        <v>16</v>
      </c>
      <c r="L1088">
        <v>199267.39</v>
      </c>
      <c r="M1088" t="str" cm="1">
        <f t="array" ref="M1088">_xlfn.IFS(A1088&lt;30,"Young",A1088&lt;=50,"Adult",A1088&gt;50,"Senior")</f>
        <v>Senior</v>
      </c>
    </row>
    <row r="1089" spans="1:13" x14ac:dyDescent="0.3">
      <c r="A1089">
        <v>57</v>
      </c>
      <c r="B1089" t="s">
        <v>12</v>
      </c>
      <c r="C1089">
        <v>31.54</v>
      </c>
      <c r="D1089">
        <v>0</v>
      </c>
      <c r="E1089" t="s">
        <v>19</v>
      </c>
      <c r="F1089" t="s">
        <v>8</v>
      </c>
      <c r="G1089">
        <v>11353.2276</v>
      </c>
      <c r="H1089">
        <v>121.6</v>
      </c>
      <c r="I1089" t="s">
        <v>3</v>
      </c>
      <c r="J1089" t="b">
        <v>0</v>
      </c>
      <c r="K1089" t="s">
        <v>15</v>
      </c>
      <c r="L1089">
        <v>109882.65</v>
      </c>
      <c r="M1089" t="str" cm="1">
        <f t="array" ref="M1089">_xlfn.IFS(A1089&lt;30,"Young",A1089&lt;=50,"Adult",A1089&gt;50,"Senior")</f>
        <v>Senior</v>
      </c>
    </row>
    <row r="1090" spans="1:13" x14ac:dyDescent="0.3">
      <c r="A1090">
        <v>52</v>
      </c>
      <c r="B1090" t="s">
        <v>12</v>
      </c>
      <c r="C1090">
        <v>47.74</v>
      </c>
      <c r="D1090">
        <v>1</v>
      </c>
      <c r="E1090" t="s">
        <v>19</v>
      </c>
      <c r="F1090" t="s">
        <v>7</v>
      </c>
      <c r="G1090">
        <v>9748.9105999999992</v>
      </c>
      <c r="H1090">
        <v>128.5</v>
      </c>
      <c r="I1090" t="s">
        <v>0</v>
      </c>
      <c r="J1090" t="b">
        <v>0</v>
      </c>
      <c r="K1090" t="s">
        <v>16</v>
      </c>
      <c r="L1090">
        <v>57219.73</v>
      </c>
      <c r="M1090" t="str" cm="1">
        <f t="array" ref="M1090">_xlfn.IFS(A1090&lt;30,"Young",A1090&lt;=50,"Adult",A1090&gt;50,"Senior")</f>
        <v>Senior</v>
      </c>
    </row>
    <row r="1091" spans="1:13" x14ac:dyDescent="0.3">
      <c r="A1091">
        <v>56</v>
      </c>
      <c r="B1091" t="s">
        <v>12</v>
      </c>
      <c r="C1091">
        <v>22.1</v>
      </c>
      <c r="D1091">
        <v>0</v>
      </c>
      <c r="E1091" t="s">
        <v>19</v>
      </c>
      <c r="F1091" t="s">
        <v>6</v>
      </c>
      <c r="G1091">
        <v>10577.087</v>
      </c>
      <c r="H1091">
        <v>118.2</v>
      </c>
      <c r="I1091" t="s">
        <v>1</v>
      </c>
      <c r="J1091" t="b">
        <v>1</v>
      </c>
      <c r="K1091" t="s">
        <v>16</v>
      </c>
      <c r="L1091">
        <v>108880.16</v>
      </c>
      <c r="M1091" t="str" cm="1">
        <f t="array" ref="M1091">_xlfn.IFS(A1091&lt;30,"Young",A1091&lt;=50,"Adult",A1091&gt;50,"Senior")</f>
        <v>Senior</v>
      </c>
    </row>
    <row r="1092" spans="1:13" x14ac:dyDescent="0.3">
      <c r="A1092">
        <v>47</v>
      </c>
      <c r="B1092" t="s">
        <v>12</v>
      </c>
      <c r="C1092">
        <v>36.19</v>
      </c>
      <c r="D1092">
        <v>0</v>
      </c>
      <c r="E1092" t="s">
        <v>18</v>
      </c>
      <c r="F1092" t="s">
        <v>7</v>
      </c>
      <c r="G1092">
        <v>41676.081100000003</v>
      </c>
      <c r="H1092">
        <v>123.8</v>
      </c>
      <c r="I1092" t="s">
        <v>0</v>
      </c>
      <c r="J1092" t="b">
        <v>0</v>
      </c>
      <c r="K1092" t="s">
        <v>14</v>
      </c>
      <c r="L1092">
        <v>173845.88</v>
      </c>
      <c r="M1092" t="str" cm="1">
        <f t="array" ref="M1092">_xlfn.IFS(A1092&lt;30,"Young",A1092&lt;=50,"Adult",A1092&gt;50,"Senior")</f>
        <v>Adult</v>
      </c>
    </row>
    <row r="1093" spans="1:13" x14ac:dyDescent="0.3">
      <c r="A1093">
        <v>55</v>
      </c>
      <c r="B1093" t="s">
        <v>11</v>
      </c>
      <c r="C1093">
        <v>29.83</v>
      </c>
      <c r="D1093">
        <v>0</v>
      </c>
      <c r="E1093" t="s">
        <v>19</v>
      </c>
      <c r="F1093" t="s">
        <v>9</v>
      </c>
      <c r="G1093">
        <v>11286.538699999999</v>
      </c>
      <c r="H1093">
        <v>110.2</v>
      </c>
      <c r="I1093" t="s">
        <v>3</v>
      </c>
      <c r="J1093" t="b">
        <v>0</v>
      </c>
      <c r="K1093" t="s">
        <v>14</v>
      </c>
      <c r="L1093">
        <v>33324.559999999998</v>
      </c>
      <c r="M1093" t="str" cm="1">
        <f t="array" ref="M1093">_xlfn.IFS(A1093&lt;30,"Young",A1093&lt;=50,"Adult",A1093&gt;50,"Senior")</f>
        <v>Senior</v>
      </c>
    </row>
    <row r="1094" spans="1:13" x14ac:dyDescent="0.3">
      <c r="A1094">
        <v>23</v>
      </c>
      <c r="B1094" t="s">
        <v>12</v>
      </c>
      <c r="C1094">
        <v>32.700000000000003</v>
      </c>
      <c r="D1094">
        <v>3</v>
      </c>
      <c r="E1094" t="s">
        <v>19</v>
      </c>
      <c r="F1094" t="s">
        <v>6</v>
      </c>
      <c r="G1094">
        <v>3591.48</v>
      </c>
      <c r="H1094">
        <v>131.5</v>
      </c>
      <c r="I1094" t="s">
        <v>0</v>
      </c>
      <c r="J1094" t="b">
        <v>0</v>
      </c>
      <c r="K1094" t="s">
        <v>15</v>
      </c>
      <c r="L1094">
        <v>142039.70000000001</v>
      </c>
      <c r="M1094" t="str" cm="1">
        <f t="array" ref="M1094">_xlfn.IFS(A1094&lt;30,"Young",A1094&lt;=50,"Adult",A1094&gt;50,"Senior")</f>
        <v>Young</v>
      </c>
    </row>
    <row r="1095" spans="1:13" x14ac:dyDescent="0.3">
      <c r="A1095">
        <v>22</v>
      </c>
      <c r="B1095" t="s">
        <v>11</v>
      </c>
      <c r="C1095">
        <v>30.4</v>
      </c>
      <c r="D1095">
        <v>0</v>
      </c>
      <c r="E1095" t="s">
        <v>18</v>
      </c>
      <c r="F1095" t="s">
        <v>8</v>
      </c>
      <c r="G1095">
        <v>33907.548000000003</v>
      </c>
      <c r="H1095">
        <v>128.30000000000001</v>
      </c>
      <c r="I1095" t="s">
        <v>2</v>
      </c>
      <c r="J1095" t="b">
        <v>1</v>
      </c>
      <c r="K1095" t="s">
        <v>16</v>
      </c>
      <c r="L1095">
        <v>199238.2</v>
      </c>
      <c r="M1095" t="str" cm="1">
        <f t="array" ref="M1095">_xlfn.IFS(A1095&lt;30,"Young",A1095&lt;=50,"Adult",A1095&gt;50,"Senior")</f>
        <v>Young</v>
      </c>
    </row>
    <row r="1096" spans="1:13" x14ac:dyDescent="0.3">
      <c r="A1096">
        <v>50</v>
      </c>
      <c r="B1096" t="s">
        <v>11</v>
      </c>
      <c r="C1096">
        <v>33.700000000000003</v>
      </c>
      <c r="D1096">
        <v>4</v>
      </c>
      <c r="E1096" t="s">
        <v>19</v>
      </c>
      <c r="F1096" t="s">
        <v>6</v>
      </c>
      <c r="G1096">
        <v>11299.343000000001</v>
      </c>
      <c r="H1096">
        <v>112.6</v>
      </c>
      <c r="I1096" t="s">
        <v>2</v>
      </c>
      <c r="J1096" t="b">
        <v>1</v>
      </c>
      <c r="K1096" t="s">
        <v>15</v>
      </c>
      <c r="L1096">
        <v>196838.84</v>
      </c>
      <c r="M1096" t="str" cm="1">
        <f t="array" ref="M1096">_xlfn.IFS(A1096&lt;30,"Young",A1096&lt;=50,"Adult",A1096&gt;50,"Senior")</f>
        <v>Adult</v>
      </c>
    </row>
    <row r="1097" spans="1:13" x14ac:dyDescent="0.3">
      <c r="A1097">
        <v>18</v>
      </c>
      <c r="B1097" t="s">
        <v>11</v>
      </c>
      <c r="C1097">
        <v>31.35</v>
      </c>
      <c r="D1097">
        <v>4</v>
      </c>
      <c r="E1097" t="s">
        <v>19</v>
      </c>
      <c r="F1097" t="s">
        <v>9</v>
      </c>
      <c r="G1097">
        <v>4561.1885000000002</v>
      </c>
      <c r="H1097">
        <v>127.5</v>
      </c>
      <c r="I1097" t="s">
        <v>3</v>
      </c>
      <c r="J1097" t="b">
        <v>1</v>
      </c>
      <c r="K1097" t="s">
        <v>14</v>
      </c>
      <c r="L1097">
        <v>81999.23</v>
      </c>
      <c r="M1097" t="str" cm="1">
        <f t="array" ref="M1097">_xlfn.IFS(A1097&lt;30,"Young",A1097&lt;=50,"Adult",A1097&gt;50,"Senior")</f>
        <v>Young</v>
      </c>
    </row>
    <row r="1098" spans="1:13" x14ac:dyDescent="0.3">
      <c r="A1098">
        <v>51</v>
      </c>
      <c r="B1098" t="s">
        <v>11</v>
      </c>
      <c r="C1098">
        <v>34.96</v>
      </c>
      <c r="D1098">
        <v>2</v>
      </c>
      <c r="E1098" t="s">
        <v>18</v>
      </c>
      <c r="F1098" t="s">
        <v>9</v>
      </c>
      <c r="G1098">
        <v>44641.197399999997</v>
      </c>
      <c r="H1098">
        <v>138.19999999999999</v>
      </c>
      <c r="I1098" t="s">
        <v>2</v>
      </c>
      <c r="J1098" t="b">
        <v>1</v>
      </c>
      <c r="K1098" t="s">
        <v>15</v>
      </c>
      <c r="L1098">
        <v>64945.63</v>
      </c>
      <c r="M1098" t="str" cm="1">
        <f t="array" ref="M1098">_xlfn.IFS(A1098&lt;30,"Young",A1098&lt;=50,"Adult",A1098&gt;50,"Senior")</f>
        <v>Senior</v>
      </c>
    </row>
    <row r="1099" spans="1:13" x14ac:dyDescent="0.3">
      <c r="A1099">
        <v>22</v>
      </c>
      <c r="B1099" t="s">
        <v>12</v>
      </c>
      <c r="C1099">
        <v>33.770000000000003</v>
      </c>
      <c r="D1099">
        <v>0</v>
      </c>
      <c r="E1099" t="s">
        <v>19</v>
      </c>
      <c r="F1099" t="s">
        <v>7</v>
      </c>
      <c r="G1099">
        <v>1674.6323</v>
      </c>
      <c r="H1099">
        <v>111.7</v>
      </c>
      <c r="I1099" t="s">
        <v>1</v>
      </c>
      <c r="J1099" t="b">
        <v>0</v>
      </c>
      <c r="K1099" t="s">
        <v>16</v>
      </c>
      <c r="L1099">
        <v>172009.06</v>
      </c>
      <c r="M1099" t="str" cm="1">
        <f t="array" ref="M1099">_xlfn.IFS(A1099&lt;30,"Young",A1099&lt;=50,"Adult",A1099&gt;50,"Senior")</f>
        <v>Young</v>
      </c>
    </row>
    <row r="1100" spans="1:13" x14ac:dyDescent="0.3">
      <c r="A1100">
        <v>52</v>
      </c>
      <c r="B1100" t="s">
        <v>11</v>
      </c>
      <c r="C1100">
        <v>30.875</v>
      </c>
      <c r="D1100">
        <v>0</v>
      </c>
      <c r="E1100" t="s">
        <v>19</v>
      </c>
      <c r="F1100" t="s">
        <v>9</v>
      </c>
      <c r="G1100">
        <v>23045.566159999998</v>
      </c>
      <c r="H1100">
        <v>122.2</v>
      </c>
      <c r="I1100" t="s">
        <v>1</v>
      </c>
      <c r="J1100" t="b">
        <v>0</v>
      </c>
      <c r="K1100" t="s">
        <v>16</v>
      </c>
      <c r="L1100">
        <v>91199.16</v>
      </c>
      <c r="M1100" t="str" cm="1">
        <f t="array" ref="M1100">_xlfn.IFS(A1100&lt;30,"Young",A1100&lt;=50,"Adult",A1100&gt;50,"Senior")</f>
        <v>Senior</v>
      </c>
    </row>
    <row r="1101" spans="1:13" x14ac:dyDescent="0.3">
      <c r="A1101">
        <v>25</v>
      </c>
      <c r="B1101" t="s">
        <v>11</v>
      </c>
      <c r="C1101">
        <v>33.99</v>
      </c>
      <c r="D1101">
        <v>1</v>
      </c>
      <c r="E1101" t="s">
        <v>19</v>
      </c>
      <c r="F1101" t="s">
        <v>7</v>
      </c>
      <c r="G1101">
        <v>3227.1210999999998</v>
      </c>
      <c r="H1101">
        <v>117.3</v>
      </c>
      <c r="I1101" t="s">
        <v>0</v>
      </c>
      <c r="J1101" t="b">
        <v>1</v>
      </c>
      <c r="K1101" t="s">
        <v>15</v>
      </c>
      <c r="L1101">
        <v>134653.98000000001</v>
      </c>
      <c r="M1101" t="str" cm="1">
        <f t="array" ref="M1101">_xlfn.IFS(A1101&lt;30,"Young",A1101&lt;=50,"Adult",A1101&gt;50,"Senior")</f>
        <v>Young</v>
      </c>
    </row>
    <row r="1102" spans="1:13" x14ac:dyDescent="0.3">
      <c r="A1102">
        <v>33</v>
      </c>
      <c r="B1102" t="s">
        <v>11</v>
      </c>
      <c r="C1102">
        <v>19.094999999999999</v>
      </c>
      <c r="D1102">
        <v>2</v>
      </c>
      <c r="E1102" t="s">
        <v>18</v>
      </c>
      <c r="F1102" t="s">
        <v>9</v>
      </c>
      <c r="G1102">
        <v>16776.304049999999</v>
      </c>
      <c r="H1102">
        <v>127.1</v>
      </c>
      <c r="I1102" t="s">
        <v>3</v>
      </c>
      <c r="J1102" t="b">
        <v>0</v>
      </c>
      <c r="K1102" t="s">
        <v>14</v>
      </c>
      <c r="L1102">
        <v>30109.23</v>
      </c>
      <c r="M1102" t="str" cm="1">
        <f t="array" ref="M1102">_xlfn.IFS(A1102&lt;30,"Young",A1102&lt;=50,"Adult",A1102&gt;50,"Senior")</f>
        <v>Adult</v>
      </c>
    </row>
    <row r="1103" spans="1:13" x14ac:dyDescent="0.3">
      <c r="A1103">
        <v>53</v>
      </c>
      <c r="B1103" t="s">
        <v>12</v>
      </c>
      <c r="C1103">
        <v>28.6</v>
      </c>
      <c r="D1103">
        <v>3</v>
      </c>
      <c r="E1103" t="s">
        <v>19</v>
      </c>
      <c r="F1103" t="s">
        <v>6</v>
      </c>
      <c r="G1103">
        <v>11253.421</v>
      </c>
      <c r="H1103">
        <v>119.1</v>
      </c>
      <c r="I1103" t="s">
        <v>2</v>
      </c>
      <c r="J1103" t="b">
        <v>1</v>
      </c>
      <c r="K1103" t="s">
        <v>15</v>
      </c>
      <c r="L1103">
        <v>112760.73</v>
      </c>
      <c r="M1103" t="str" cm="1">
        <f t="array" ref="M1103">_xlfn.IFS(A1103&lt;30,"Young",A1103&lt;=50,"Adult",A1103&gt;50,"Senior")</f>
        <v>Senior</v>
      </c>
    </row>
    <row r="1104" spans="1:13" x14ac:dyDescent="0.3">
      <c r="A1104">
        <v>29</v>
      </c>
      <c r="B1104" t="s">
        <v>12</v>
      </c>
      <c r="C1104">
        <v>38.94</v>
      </c>
      <c r="D1104">
        <v>1</v>
      </c>
      <c r="E1104" t="s">
        <v>19</v>
      </c>
      <c r="F1104" t="s">
        <v>7</v>
      </c>
      <c r="G1104">
        <v>3471.4096</v>
      </c>
      <c r="H1104">
        <v>138.30000000000001</v>
      </c>
      <c r="I1104" t="s">
        <v>0</v>
      </c>
      <c r="J1104" t="b">
        <v>1</v>
      </c>
      <c r="K1104" t="s">
        <v>14</v>
      </c>
      <c r="L1104">
        <v>104366.51</v>
      </c>
      <c r="M1104" t="str" cm="1">
        <f t="array" ref="M1104">_xlfn.IFS(A1104&lt;30,"Young",A1104&lt;=50,"Adult",A1104&gt;50,"Senior")</f>
        <v>Young</v>
      </c>
    </row>
    <row r="1105" spans="1:13" x14ac:dyDescent="0.3">
      <c r="A1105">
        <v>58</v>
      </c>
      <c r="B1105" t="s">
        <v>12</v>
      </c>
      <c r="C1105">
        <v>36.08</v>
      </c>
      <c r="D1105">
        <v>0</v>
      </c>
      <c r="E1105" t="s">
        <v>19</v>
      </c>
      <c r="F1105" t="s">
        <v>7</v>
      </c>
      <c r="G1105">
        <v>11363.2832</v>
      </c>
      <c r="H1105">
        <v>121.7</v>
      </c>
      <c r="I1105" t="s">
        <v>3</v>
      </c>
      <c r="J1105" t="b">
        <v>0</v>
      </c>
      <c r="K1105" t="s">
        <v>14</v>
      </c>
      <c r="L1105">
        <v>84229.35</v>
      </c>
      <c r="M1105" t="str" cm="1">
        <f t="array" ref="M1105">_xlfn.IFS(A1105&lt;30,"Young",A1105&lt;=50,"Adult",A1105&gt;50,"Senior")</f>
        <v>Senior</v>
      </c>
    </row>
    <row r="1106" spans="1:13" x14ac:dyDescent="0.3">
      <c r="A1106">
        <v>37</v>
      </c>
      <c r="B1106" t="s">
        <v>12</v>
      </c>
      <c r="C1106">
        <v>29.8</v>
      </c>
      <c r="D1106">
        <v>0</v>
      </c>
      <c r="E1106" t="s">
        <v>19</v>
      </c>
      <c r="F1106" t="s">
        <v>6</v>
      </c>
      <c r="G1106">
        <v>20420.604650000001</v>
      </c>
      <c r="H1106">
        <v>130.80000000000001</v>
      </c>
      <c r="I1106" t="s">
        <v>3</v>
      </c>
      <c r="J1106" t="b">
        <v>0</v>
      </c>
      <c r="K1106" t="s">
        <v>16</v>
      </c>
      <c r="L1106">
        <v>118938.27</v>
      </c>
      <c r="M1106" t="str" cm="1">
        <f t="array" ref="M1106">_xlfn.IFS(A1106&lt;30,"Young",A1106&lt;=50,"Adult",A1106&gt;50,"Senior")</f>
        <v>Adult</v>
      </c>
    </row>
    <row r="1107" spans="1:13" x14ac:dyDescent="0.3">
      <c r="A1107">
        <v>54</v>
      </c>
      <c r="B1107" t="s">
        <v>11</v>
      </c>
      <c r="C1107">
        <v>31.24</v>
      </c>
      <c r="D1107">
        <v>0</v>
      </c>
      <c r="E1107" t="s">
        <v>19</v>
      </c>
      <c r="F1107" t="s">
        <v>7</v>
      </c>
      <c r="G1107">
        <v>10338.9316</v>
      </c>
      <c r="H1107">
        <v>123.7</v>
      </c>
      <c r="I1107" t="s">
        <v>3</v>
      </c>
      <c r="J1107" t="b">
        <v>1</v>
      </c>
      <c r="K1107" t="s">
        <v>14</v>
      </c>
      <c r="L1107">
        <v>32064.89</v>
      </c>
      <c r="M1107" t="str" cm="1">
        <f t="array" ref="M1107">_xlfn.IFS(A1107&lt;30,"Young",A1107&lt;=50,"Adult",A1107&gt;50,"Senior")</f>
        <v>Senior</v>
      </c>
    </row>
    <row r="1108" spans="1:13" x14ac:dyDescent="0.3">
      <c r="A1108">
        <v>49</v>
      </c>
      <c r="B1108" t="s">
        <v>11</v>
      </c>
      <c r="C1108">
        <v>29.925000000000001</v>
      </c>
      <c r="D1108">
        <v>0</v>
      </c>
      <c r="E1108" t="s">
        <v>19</v>
      </c>
      <c r="F1108" t="s">
        <v>8</v>
      </c>
      <c r="G1108">
        <v>8988.1587500000005</v>
      </c>
      <c r="H1108">
        <v>125.7</v>
      </c>
      <c r="I1108" t="s">
        <v>0</v>
      </c>
      <c r="J1108" t="b">
        <v>1</v>
      </c>
      <c r="K1108" t="s">
        <v>16</v>
      </c>
      <c r="L1108">
        <v>180414.4</v>
      </c>
      <c r="M1108" t="str" cm="1">
        <f t="array" ref="M1108">_xlfn.IFS(A1108&lt;30,"Young",A1108&lt;=50,"Adult",A1108&gt;50,"Senior")</f>
        <v>Adult</v>
      </c>
    </row>
    <row r="1109" spans="1:13" x14ac:dyDescent="0.3">
      <c r="A1109">
        <v>50</v>
      </c>
      <c r="B1109" t="s">
        <v>11</v>
      </c>
      <c r="C1109">
        <v>26.22</v>
      </c>
      <c r="D1109">
        <v>2</v>
      </c>
      <c r="E1109" t="s">
        <v>19</v>
      </c>
      <c r="F1109" t="s">
        <v>8</v>
      </c>
      <c r="G1109">
        <v>10493.9458</v>
      </c>
      <c r="H1109">
        <v>110.8</v>
      </c>
      <c r="I1109" t="s">
        <v>2</v>
      </c>
      <c r="J1109" t="b">
        <v>0</v>
      </c>
      <c r="K1109" t="s">
        <v>16</v>
      </c>
      <c r="L1109">
        <v>103024.69</v>
      </c>
      <c r="M1109" t="str" cm="1">
        <f t="array" ref="M1109">_xlfn.IFS(A1109&lt;30,"Young",A1109&lt;=50,"Adult",A1109&gt;50,"Senior")</f>
        <v>Adult</v>
      </c>
    </row>
    <row r="1110" spans="1:13" x14ac:dyDescent="0.3">
      <c r="A1110">
        <v>26</v>
      </c>
      <c r="B1110" t="s">
        <v>12</v>
      </c>
      <c r="C1110">
        <v>30</v>
      </c>
      <c r="D1110">
        <v>1</v>
      </c>
      <c r="E1110" t="s">
        <v>19</v>
      </c>
      <c r="F1110" t="s">
        <v>6</v>
      </c>
      <c r="G1110">
        <v>2904.0880000000002</v>
      </c>
      <c r="H1110">
        <v>114.4</v>
      </c>
      <c r="I1110" t="s">
        <v>0</v>
      </c>
      <c r="J1110" t="b">
        <v>1</v>
      </c>
      <c r="K1110" t="s">
        <v>16</v>
      </c>
      <c r="L1110">
        <v>122773.77</v>
      </c>
      <c r="M1110" t="str" cm="1">
        <f t="array" ref="M1110">_xlfn.IFS(A1110&lt;30,"Young",A1110&lt;=50,"Adult",A1110&gt;50,"Senior")</f>
        <v>Young</v>
      </c>
    </row>
    <row r="1111" spans="1:13" x14ac:dyDescent="0.3">
      <c r="A1111">
        <v>45</v>
      </c>
      <c r="B1111" t="s">
        <v>12</v>
      </c>
      <c r="C1111">
        <v>20.350000000000001</v>
      </c>
      <c r="D1111">
        <v>3</v>
      </c>
      <c r="E1111" t="s">
        <v>19</v>
      </c>
      <c r="F1111" t="s">
        <v>7</v>
      </c>
      <c r="G1111">
        <v>8605.3615000000009</v>
      </c>
      <c r="H1111">
        <v>125.3</v>
      </c>
      <c r="I1111" t="s">
        <v>2</v>
      </c>
      <c r="J1111" t="b">
        <v>1</v>
      </c>
      <c r="K1111" t="s">
        <v>15</v>
      </c>
      <c r="L1111">
        <v>117577.94</v>
      </c>
      <c r="M1111" t="str" cm="1">
        <f t="array" ref="M1111">_xlfn.IFS(A1111&lt;30,"Young",A1111&lt;=50,"Adult",A1111&gt;50,"Senior")</f>
        <v>Adult</v>
      </c>
    </row>
    <row r="1112" spans="1:13" x14ac:dyDescent="0.3">
      <c r="A1112">
        <v>54</v>
      </c>
      <c r="B1112" t="s">
        <v>11</v>
      </c>
      <c r="C1112">
        <v>32.299999999999997</v>
      </c>
      <c r="D1112">
        <v>1</v>
      </c>
      <c r="E1112" t="s">
        <v>19</v>
      </c>
      <c r="F1112" t="s">
        <v>9</v>
      </c>
      <c r="G1112">
        <v>11512.405000000001</v>
      </c>
      <c r="H1112">
        <v>132.9</v>
      </c>
      <c r="I1112" t="s">
        <v>1</v>
      </c>
      <c r="J1112" t="b">
        <v>1</v>
      </c>
      <c r="K1112" t="s">
        <v>14</v>
      </c>
      <c r="L1112">
        <v>156132.67000000001</v>
      </c>
      <c r="M1112" t="str" cm="1">
        <f t="array" ref="M1112">_xlfn.IFS(A1112&lt;30,"Young",A1112&lt;=50,"Adult",A1112&gt;50,"Senior")</f>
        <v>Senior</v>
      </c>
    </row>
    <row r="1113" spans="1:13" x14ac:dyDescent="0.3">
      <c r="A1113">
        <v>38</v>
      </c>
      <c r="B1113" t="s">
        <v>12</v>
      </c>
      <c r="C1113">
        <v>38.39</v>
      </c>
      <c r="D1113">
        <v>3</v>
      </c>
      <c r="E1113" t="s">
        <v>18</v>
      </c>
      <c r="F1113" t="s">
        <v>7</v>
      </c>
      <c r="G1113">
        <v>41949.244100000004</v>
      </c>
      <c r="H1113">
        <v>116.1</v>
      </c>
      <c r="I1113" t="s">
        <v>0</v>
      </c>
      <c r="J1113" t="b">
        <v>0</v>
      </c>
      <c r="K1113" t="s">
        <v>14</v>
      </c>
      <c r="L1113">
        <v>157542.73000000001</v>
      </c>
      <c r="M1113" t="str" cm="1">
        <f t="array" ref="M1113">_xlfn.IFS(A1113&lt;30,"Young",A1113&lt;=50,"Adult",A1113&gt;50,"Senior")</f>
        <v>Adult</v>
      </c>
    </row>
    <row r="1114" spans="1:13" x14ac:dyDescent="0.3">
      <c r="A1114">
        <v>48</v>
      </c>
      <c r="B1114" t="s">
        <v>11</v>
      </c>
      <c r="C1114">
        <v>25.85</v>
      </c>
      <c r="D1114">
        <v>3</v>
      </c>
      <c r="E1114" t="s">
        <v>18</v>
      </c>
      <c r="F1114" t="s">
        <v>7</v>
      </c>
      <c r="G1114">
        <v>24180.933499999999</v>
      </c>
      <c r="H1114">
        <v>123.6</v>
      </c>
      <c r="I1114" t="s">
        <v>1</v>
      </c>
      <c r="J1114" t="b">
        <v>0</v>
      </c>
      <c r="K1114" t="s">
        <v>14</v>
      </c>
      <c r="L1114">
        <v>78007.02</v>
      </c>
      <c r="M1114" t="str" cm="1">
        <f t="array" ref="M1114">_xlfn.IFS(A1114&lt;30,"Young",A1114&lt;=50,"Adult",A1114&gt;50,"Senior")</f>
        <v>Adult</v>
      </c>
    </row>
    <row r="1115" spans="1:13" x14ac:dyDescent="0.3">
      <c r="A1115">
        <v>28</v>
      </c>
      <c r="B1115" t="s">
        <v>11</v>
      </c>
      <c r="C1115">
        <v>26.315000000000001</v>
      </c>
      <c r="D1115">
        <v>3</v>
      </c>
      <c r="E1115" t="s">
        <v>19</v>
      </c>
      <c r="F1115" t="s">
        <v>8</v>
      </c>
      <c r="G1115">
        <v>5312.1698500000002</v>
      </c>
      <c r="H1115">
        <v>131.5</v>
      </c>
      <c r="I1115" t="s">
        <v>2</v>
      </c>
      <c r="J1115" t="b">
        <v>1</v>
      </c>
      <c r="K1115" t="s">
        <v>16</v>
      </c>
      <c r="L1115">
        <v>101532.38</v>
      </c>
      <c r="M1115" t="str" cm="1">
        <f t="array" ref="M1115">_xlfn.IFS(A1115&lt;30,"Young",A1115&lt;=50,"Adult",A1115&gt;50,"Senior")</f>
        <v>Young</v>
      </c>
    </row>
    <row r="1116" spans="1:13" x14ac:dyDescent="0.3">
      <c r="A1116">
        <v>23</v>
      </c>
      <c r="B1116" t="s">
        <v>12</v>
      </c>
      <c r="C1116">
        <v>24.51</v>
      </c>
      <c r="D1116">
        <v>0</v>
      </c>
      <c r="E1116" t="s">
        <v>19</v>
      </c>
      <c r="F1116" t="s">
        <v>9</v>
      </c>
      <c r="G1116">
        <v>2396.0958999999998</v>
      </c>
      <c r="H1116">
        <v>114.7</v>
      </c>
      <c r="I1116" t="s">
        <v>1</v>
      </c>
      <c r="J1116" t="b">
        <v>1</v>
      </c>
      <c r="K1116" t="s">
        <v>16</v>
      </c>
      <c r="L1116">
        <v>90660.76</v>
      </c>
      <c r="M1116" t="str" cm="1">
        <f t="array" ref="M1116">_xlfn.IFS(A1116&lt;30,"Young",A1116&lt;=50,"Adult",A1116&gt;50,"Senior")</f>
        <v>Young</v>
      </c>
    </row>
    <row r="1117" spans="1:13" x14ac:dyDescent="0.3">
      <c r="A1117">
        <v>55</v>
      </c>
      <c r="B1117" t="s">
        <v>12</v>
      </c>
      <c r="C1117">
        <v>32.67</v>
      </c>
      <c r="D1117">
        <v>1</v>
      </c>
      <c r="E1117" t="s">
        <v>19</v>
      </c>
      <c r="F1117" t="s">
        <v>7</v>
      </c>
      <c r="G1117">
        <v>10807.4863</v>
      </c>
      <c r="H1117">
        <v>120.1</v>
      </c>
      <c r="I1117" t="s">
        <v>3</v>
      </c>
      <c r="J1117" t="b">
        <v>1</v>
      </c>
      <c r="K1117" t="s">
        <v>14</v>
      </c>
      <c r="L1117">
        <v>66288.42</v>
      </c>
      <c r="M1117" t="str" cm="1">
        <f t="array" ref="M1117">_xlfn.IFS(A1117&lt;30,"Young",A1117&lt;=50,"Adult",A1117&gt;50,"Senior")</f>
        <v>Senior</v>
      </c>
    </row>
    <row r="1118" spans="1:13" x14ac:dyDescent="0.3">
      <c r="A1118">
        <v>41</v>
      </c>
      <c r="B1118" t="s">
        <v>12</v>
      </c>
      <c r="C1118">
        <v>29.64</v>
      </c>
      <c r="D1118">
        <v>5</v>
      </c>
      <c r="E1118" t="s">
        <v>19</v>
      </c>
      <c r="F1118" t="s">
        <v>9</v>
      </c>
      <c r="G1118">
        <v>9222.4025999999994</v>
      </c>
      <c r="H1118">
        <v>111.7</v>
      </c>
      <c r="I1118" t="s">
        <v>3</v>
      </c>
      <c r="J1118" t="b">
        <v>1</v>
      </c>
      <c r="K1118" t="s">
        <v>15</v>
      </c>
      <c r="L1118">
        <v>184673.27</v>
      </c>
      <c r="M1118" t="str" cm="1">
        <f t="array" ref="M1118">_xlfn.IFS(A1118&lt;30,"Young",A1118&lt;=50,"Adult",A1118&gt;50,"Senior")</f>
        <v>Adult</v>
      </c>
    </row>
    <row r="1119" spans="1:13" x14ac:dyDescent="0.3">
      <c r="A1119">
        <v>25</v>
      </c>
      <c r="B1119" t="s">
        <v>12</v>
      </c>
      <c r="C1119">
        <v>33.33</v>
      </c>
      <c r="D1119">
        <v>2</v>
      </c>
      <c r="E1119" t="s">
        <v>18</v>
      </c>
      <c r="F1119" t="s">
        <v>7</v>
      </c>
      <c r="G1119">
        <v>36124.573700000001</v>
      </c>
      <c r="H1119">
        <v>131.69999999999999</v>
      </c>
      <c r="I1119" t="s">
        <v>0</v>
      </c>
      <c r="J1119" t="b">
        <v>0</v>
      </c>
      <c r="K1119" t="s">
        <v>14</v>
      </c>
      <c r="L1119">
        <v>47082.59</v>
      </c>
      <c r="M1119" t="str" cm="1">
        <f t="array" ref="M1119">_xlfn.IFS(A1119&lt;30,"Young",A1119&lt;=50,"Adult",A1119&gt;50,"Senior")</f>
        <v>Young</v>
      </c>
    </row>
    <row r="1120" spans="1:13" x14ac:dyDescent="0.3">
      <c r="A1120">
        <v>33</v>
      </c>
      <c r="B1120" t="s">
        <v>12</v>
      </c>
      <c r="C1120">
        <v>35.75</v>
      </c>
      <c r="D1120">
        <v>1</v>
      </c>
      <c r="E1120" t="s">
        <v>18</v>
      </c>
      <c r="F1120" t="s">
        <v>7</v>
      </c>
      <c r="G1120">
        <v>38282.749499999998</v>
      </c>
      <c r="H1120">
        <v>136.6</v>
      </c>
      <c r="I1120" t="s">
        <v>2</v>
      </c>
      <c r="J1120" t="b">
        <v>1</v>
      </c>
      <c r="K1120" t="s">
        <v>15</v>
      </c>
      <c r="L1120">
        <v>107020.22</v>
      </c>
      <c r="M1120" t="str" cm="1">
        <f t="array" ref="M1120">_xlfn.IFS(A1120&lt;30,"Young",A1120&lt;=50,"Adult",A1120&gt;50,"Senior")</f>
        <v>Adult</v>
      </c>
    </row>
    <row r="1121" spans="1:13" x14ac:dyDescent="0.3">
      <c r="A1121">
        <v>30</v>
      </c>
      <c r="B1121" t="s">
        <v>11</v>
      </c>
      <c r="C1121">
        <v>19.95</v>
      </c>
      <c r="D1121">
        <v>3</v>
      </c>
      <c r="E1121" t="s">
        <v>19</v>
      </c>
      <c r="F1121" t="s">
        <v>8</v>
      </c>
      <c r="G1121">
        <v>5693.4305000000004</v>
      </c>
      <c r="H1121">
        <v>136.80000000000001</v>
      </c>
      <c r="I1121" t="s">
        <v>3</v>
      </c>
      <c r="J1121" t="b">
        <v>1</v>
      </c>
      <c r="K1121" t="s">
        <v>16</v>
      </c>
      <c r="L1121">
        <v>74168</v>
      </c>
      <c r="M1121" t="str" cm="1">
        <f t="array" ref="M1121">_xlfn.IFS(A1121&lt;30,"Young",A1121&lt;=50,"Adult",A1121&gt;50,"Senior")</f>
        <v>Adult</v>
      </c>
    </row>
    <row r="1122" spans="1:13" x14ac:dyDescent="0.3">
      <c r="A1122">
        <v>23</v>
      </c>
      <c r="B1122" t="s">
        <v>11</v>
      </c>
      <c r="C1122">
        <v>31.4</v>
      </c>
      <c r="D1122">
        <v>0</v>
      </c>
      <c r="E1122" t="s">
        <v>18</v>
      </c>
      <c r="F1122" t="s">
        <v>6</v>
      </c>
      <c r="G1122">
        <v>34166.273000000001</v>
      </c>
      <c r="H1122">
        <v>113.4</v>
      </c>
      <c r="I1122" t="s">
        <v>3</v>
      </c>
      <c r="J1122" t="b">
        <v>0</v>
      </c>
      <c r="K1122" t="s">
        <v>15</v>
      </c>
      <c r="L1122">
        <v>140847.17000000001</v>
      </c>
      <c r="M1122" t="str" cm="1">
        <f t="array" ref="M1122">_xlfn.IFS(A1122&lt;30,"Young",A1122&lt;=50,"Adult",A1122&gt;50,"Senior")</f>
        <v>Young</v>
      </c>
    </row>
    <row r="1123" spans="1:13" x14ac:dyDescent="0.3">
      <c r="A1123">
        <v>46</v>
      </c>
      <c r="B1123" t="s">
        <v>12</v>
      </c>
      <c r="C1123">
        <v>38.17</v>
      </c>
      <c r="D1123">
        <v>2</v>
      </c>
      <c r="E1123" t="s">
        <v>19</v>
      </c>
      <c r="F1123" t="s">
        <v>7</v>
      </c>
      <c r="G1123">
        <v>8347.1643000000004</v>
      </c>
      <c r="H1123">
        <v>125.2</v>
      </c>
      <c r="I1123" t="s">
        <v>1</v>
      </c>
      <c r="J1123" t="b">
        <v>0</v>
      </c>
      <c r="K1123" t="s">
        <v>16</v>
      </c>
      <c r="L1123">
        <v>82359.520000000004</v>
      </c>
      <c r="M1123" t="str" cm="1">
        <f t="array" ref="M1123">_xlfn.IFS(A1123&lt;30,"Young",A1123&lt;=50,"Adult",A1123&gt;50,"Senior")</f>
        <v>Adult</v>
      </c>
    </row>
    <row r="1124" spans="1:13" x14ac:dyDescent="0.3">
      <c r="A1124">
        <v>53</v>
      </c>
      <c r="B1124" t="s">
        <v>11</v>
      </c>
      <c r="C1124">
        <v>36.86</v>
      </c>
      <c r="D1124">
        <v>3</v>
      </c>
      <c r="E1124" t="s">
        <v>18</v>
      </c>
      <c r="F1124" t="s">
        <v>8</v>
      </c>
      <c r="G1124">
        <v>46661.4424</v>
      </c>
      <c r="H1124">
        <v>133.1</v>
      </c>
      <c r="I1124" t="s">
        <v>3</v>
      </c>
      <c r="J1124" t="b">
        <v>0</v>
      </c>
      <c r="K1124" t="s">
        <v>14</v>
      </c>
      <c r="L1124">
        <v>181157.83</v>
      </c>
      <c r="M1124" t="str" cm="1">
        <f t="array" ref="M1124">_xlfn.IFS(A1124&lt;30,"Young",A1124&lt;=50,"Adult",A1124&gt;50,"Senior")</f>
        <v>Senior</v>
      </c>
    </row>
    <row r="1125" spans="1:13" x14ac:dyDescent="0.3">
      <c r="A1125">
        <v>27</v>
      </c>
      <c r="B1125" t="s">
        <v>11</v>
      </c>
      <c r="C1125">
        <v>32.395000000000003</v>
      </c>
      <c r="D1125">
        <v>1</v>
      </c>
      <c r="E1125" t="s">
        <v>19</v>
      </c>
      <c r="F1125" t="s">
        <v>9</v>
      </c>
      <c r="G1125">
        <v>18903.491409999999</v>
      </c>
      <c r="H1125">
        <v>131.4</v>
      </c>
      <c r="I1125" t="s">
        <v>0</v>
      </c>
      <c r="J1125" t="b">
        <v>0</v>
      </c>
      <c r="K1125" t="s">
        <v>15</v>
      </c>
      <c r="L1125">
        <v>86198.09</v>
      </c>
      <c r="M1125" t="str" cm="1">
        <f t="array" ref="M1125">_xlfn.IFS(A1125&lt;30,"Young",A1125&lt;=50,"Adult",A1125&gt;50,"Senior")</f>
        <v>Young</v>
      </c>
    </row>
    <row r="1126" spans="1:13" x14ac:dyDescent="0.3">
      <c r="A1126">
        <v>23</v>
      </c>
      <c r="B1126" t="s">
        <v>11</v>
      </c>
      <c r="C1126">
        <v>42.75</v>
      </c>
      <c r="D1126">
        <v>1</v>
      </c>
      <c r="E1126" t="s">
        <v>18</v>
      </c>
      <c r="F1126" t="s">
        <v>9</v>
      </c>
      <c r="G1126">
        <v>40904.199500000002</v>
      </c>
      <c r="H1126">
        <v>117.2</v>
      </c>
      <c r="I1126" t="s">
        <v>0</v>
      </c>
      <c r="J1126" t="b">
        <v>0</v>
      </c>
      <c r="K1126" t="s">
        <v>15</v>
      </c>
      <c r="L1126">
        <v>126663.94</v>
      </c>
      <c r="M1126" t="str" cm="1">
        <f t="array" ref="M1126">_xlfn.IFS(A1126&lt;30,"Young",A1126&lt;=50,"Adult",A1126&gt;50,"Senior")</f>
        <v>Young</v>
      </c>
    </row>
    <row r="1127" spans="1:13" x14ac:dyDescent="0.3">
      <c r="A1127">
        <v>63</v>
      </c>
      <c r="B1127" t="s">
        <v>11</v>
      </c>
      <c r="C1127">
        <v>25.08</v>
      </c>
      <c r="D1127">
        <v>0</v>
      </c>
      <c r="E1127" t="s">
        <v>19</v>
      </c>
      <c r="F1127" t="s">
        <v>8</v>
      </c>
      <c r="G1127">
        <v>14254.608200000001</v>
      </c>
      <c r="H1127">
        <v>119.7</v>
      </c>
      <c r="I1127" t="s">
        <v>2</v>
      </c>
      <c r="J1127" t="b">
        <v>1</v>
      </c>
      <c r="K1127" t="s">
        <v>16</v>
      </c>
      <c r="L1127">
        <v>173963.84</v>
      </c>
      <c r="M1127" t="str" cm="1">
        <f t="array" ref="M1127">_xlfn.IFS(A1127&lt;30,"Young",A1127&lt;=50,"Adult",A1127&gt;50,"Senior")</f>
        <v>Senior</v>
      </c>
    </row>
    <row r="1128" spans="1:13" x14ac:dyDescent="0.3">
      <c r="A1128">
        <v>55</v>
      </c>
      <c r="B1128" t="s">
        <v>12</v>
      </c>
      <c r="C1128">
        <v>29.9</v>
      </c>
      <c r="D1128">
        <v>0</v>
      </c>
      <c r="E1128" t="s">
        <v>19</v>
      </c>
      <c r="F1128" t="s">
        <v>6</v>
      </c>
      <c r="G1128">
        <v>10214.636</v>
      </c>
      <c r="H1128">
        <v>113.1</v>
      </c>
      <c r="I1128" t="s">
        <v>1</v>
      </c>
      <c r="J1128" t="b">
        <v>0</v>
      </c>
      <c r="K1128" t="s">
        <v>15</v>
      </c>
      <c r="L1128">
        <v>181953.64</v>
      </c>
      <c r="M1128" t="str" cm="1">
        <f t="array" ref="M1128">_xlfn.IFS(A1128&lt;30,"Young",A1128&lt;=50,"Adult",A1128&gt;50,"Senior")</f>
        <v>Senior</v>
      </c>
    </row>
    <row r="1129" spans="1:13" x14ac:dyDescent="0.3">
      <c r="A1129">
        <v>35</v>
      </c>
      <c r="B1129" t="s">
        <v>11</v>
      </c>
      <c r="C1129">
        <v>35.86</v>
      </c>
      <c r="D1129">
        <v>2</v>
      </c>
      <c r="E1129" t="s">
        <v>19</v>
      </c>
      <c r="F1129" t="s">
        <v>7</v>
      </c>
      <c r="G1129">
        <v>5836.5204000000003</v>
      </c>
      <c r="H1129">
        <v>136.1</v>
      </c>
      <c r="I1129" t="s">
        <v>1</v>
      </c>
      <c r="J1129" t="b">
        <v>0</v>
      </c>
      <c r="K1129" t="s">
        <v>16</v>
      </c>
      <c r="L1129">
        <v>60117.73</v>
      </c>
      <c r="M1129" t="str" cm="1">
        <f t="array" ref="M1129">_xlfn.IFS(A1129&lt;30,"Young",A1129&lt;=50,"Adult",A1129&gt;50,"Senior")</f>
        <v>Adult</v>
      </c>
    </row>
    <row r="1130" spans="1:13" x14ac:dyDescent="0.3">
      <c r="A1130">
        <v>34</v>
      </c>
      <c r="B1130" t="s">
        <v>12</v>
      </c>
      <c r="C1130">
        <v>32.799999999999997</v>
      </c>
      <c r="D1130">
        <v>1</v>
      </c>
      <c r="E1130" t="s">
        <v>19</v>
      </c>
      <c r="F1130" t="s">
        <v>6</v>
      </c>
      <c r="G1130">
        <v>14358.364369999999</v>
      </c>
      <c r="H1130">
        <v>111.5</v>
      </c>
      <c r="I1130" t="s">
        <v>3</v>
      </c>
      <c r="J1130" t="b">
        <v>1</v>
      </c>
      <c r="K1130" t="s">
        <v>14</v>
      </c>
      <c r="L1130">
        <v>129321.17</v>
      </c>
      <c r="M1130" t="str" cm="1">
        <f t="array" ref="M1130">_xlfn.IFS(A1130&lt;30,"Young",A1130&lt;=50,"Adult",A1130&gt;50,"Senior")</f>
        <v>Adult</v>
      </c>
    </row>
    <row r="1131" spans="1:13" x14ac:dyDescent="0.3">
      <c r="A1131">
        <v>19</v>
      </c>
      <c r="B1131" t="s">
        <v>11</v>
      </c>
      <c r="C1131">
        <v>18.600000000000001</v>
      </c>
      <c r="D1131">
        <v>0</v>
      </c>
      <c r="E1131" t="s">
        <v>19</v>
      </c>
      <c r="F1131" t="s">
        <v>6</v>
      </c>
      <c r="G1131">
        <v>1728.8969999999999</v>
      </c>
      <c r="H1131">
        <v>121.9</v>
      </c>
      <c r="I1131" t="s">
        <v>2</v>
      </c>
      <c r="J1131" t="b">
        <v>1</v>
      </c>
      <c r="K1131" t="s">
        <v>16</v>
      </c>
      <c r="L1131">
        <v>30527.02</v>
      </c>
      <c r="M1131" t="str" cm="1">
        <f t="array" ref="M1131">_xlfn.IFS(A1131&lt;30,"Young",A1131&lt;=50,"Adult",A1131&gt;50,"Senior")</f>
        <v>Young</v>
      </c>
    </row>
    <row r="1132" spans="1:13" x14ac:dyDescent="0.3">
      <c r="A1132">
        <v>39</v>
      </c>
      <c r="B1132" t="s">
        <v>11</v>
      </c>
      <c r="C1132">
        <v>23.87</v>
      </c>
      <c r="D1132">
        <v>5</v>
      </c>
      <c r="E1132" t="s">
        <v>19</v>
      </c>
      <c r="F1132" t="s">
        <v>7</v>
      </c>
      <c r="G1132">
        <v>8582.3022999999994</v>
      </c>
      <c r="H1132">
        <v>139.19999999999999</v>
      </c>
      <c r="I1132" t="s">
        <v>2</v>
      </c>
      <c r="J1132" t="b">
        <v>1</v>
      </c>
      <c r="K1132" t="s">
        <v>15</v>
      </c>
      <c r="L1132">
        <v>188305.72</v>
      </c>
      <c r="M1132" t="str" cm="1">
        <f t="array" ref="M1132">_xlfn.IFS(A1132&lt;30,"Young",A1132&lt;=50,"Adult",A1132&gt;50,"Senior")</f>
        <v>Adult</v>
      </c>
    </row>
    <row r="1133" spans="1:13" x14ac:dyDescent="0.3">
      <c r="A1133">
        <v>27</v>
      </c>
      <c r="B1133" t="s">
        <v>12</v>
      </c>
      <c r="C1133">
        <v>45.9</v>
      </c>
      <c r="D1133">
        <v>2</v>
      </c>
      <c r="E1133" t="s">
        <v>19</v>
      </c>
      <c r="F1133" t="s">
        <v>6</v>
      </c>
      <c r="G1133">
        <v>3693.4279999999999</v>
      </c>
      <c r="H1133">
        <v>126.4</v>
      </c>
      <c r="I1133" t="s">
        <v>2</v>
      </c>
      <c r="J1133" t="b">
        <v>0</v>
      </c>
      <c r="K1133" t="s">
        <v>15</v>
      </c>
      <c r="L1133">
        <v>86004.59</v>
      </c>
      <c r="M1133" t="str" cm="1">
        <f t="array" ref="M1133">_xlfn.IFS(A1133&lt;30,"Young",A1133&lt;=50,"Adult",A1133&gt;50,"Senior")</f>
        <v>Young</v>
      </c>
    </row>
    <row r="1134" spans="1:13" x14ac:dyDescent="0.3">
      <c r="A1134">
        <v>57</v>
      </c>
      <c r="B1134" t="s">
        <v>12</v>
      </c>
      <c r="C1134">
        <v>40.28</v>
      </c>
      <c r="D1134">
        <v>0</v>
      </c>
      <c r="E1134" t="s">
        <v>19</v>
      </c>
      <c r="F1134" t="s">
        <v>9</v>
      </c>
      <c r="G1134">
        <v>20709.020339999999</v>
      </c>
      <c r="H1134">
        <v>138.6</v>
      </c>
      <c r="I1134" t="s">
        <v>1</v>
      </c>
      <c r="J1134" t="b">
        <v>0</v>
      </c>
      <c r="K1134" t="s">
        <v>14</v>
      </c>
      <c r="L1134">
        <v>48706.02</v>
      </c>
      <c r="M1134" t="str" cm="1">
        <f t="array" ref="M1134">_xlfn.IFS(A1134&lt;30,"Young",A1134&lt;=50,"Adult",A1134&gt;50,"Senior")</f>
        <v>Senior</v>
      </c>
    </row>
    <row r="1135" spans="1:13" x14ac:dyDescent="0.3">
      <c r="A1135">
        <v>52</v>
      </c>
      <c r="B1135" t="s">
        <v>11</v>
      </c>
      <c r="C1135">
        <v>18.335000000000001</v>
      </c>
      <c r="D1135">
        <v>0</v>
      </c>
      <c r="E1135" t="s">
        <v>19</v>
      </c>
      <c r="F1135" t="s">
        <v>8</v>
      </c>
      <c r="G1135">
        <v>9991.0376500000002</v>
      </c>
      <c r="H1135">
        <v>114.4</v>
      </c>
      <c r="I1135" t="s">
        <v>3</v>
      </c>
      <c r="J1135" t="b">
        <v>0</v>
      </c>
      <c r="K1135" t="s">
        <v>14</v>
      </c>
      <c r="L1135">
        <v>59970.54</v>
      </c>
      <c r="M1135" t="str" cm="1">
        <f t="array" ref="M1135">_xlfn.IFS(A1135&lt;30,"Young",A1135&lt;=50,"Adult",A1135&gt;50,"Senior")</f>
        <v>Senior</v>
      </c>
    </row>
    <row r="1136" spans="1:13" x14ac:dyDescent="0.3">
      <c r="A1136">
        <v>28</v>
      </c>
      <c r="B1136" t="s">
        <v>12</v>
      </c>
      <c r="C1136">
        <v>33.82</v>
      </c>
      <c r="D1136">
        <v>0</v>
      </c>
      <c r="E1136" t="s">
        <v>19</v>
      </c>
      <c r="F1136" t="s">
        <v>8</v>
      </c>
      <c r="G1136">
        <v>19673.335729999999</v>
      </c>
      <c r="H1136">
        <v>110.1</v>
      </c>
      <c r="I1136" t="s">
        <v>1</v>
      </c>
      <c r="J1136" t="b">
        <v>0</v>
      </c>
      <c r="K1136" t="s">
        <v>16</v>
      </c>
      <c r="L1136">
        <v>156092.98000000001</v>
      </c>
      <c r="M1136" t="str" cm="1">
        <f t="array" ref="M1136">_xlfn.IFS(A1136&lt;30,"Young",A1136&lt;=50,"Adult",A1136&gt;50,"Senior")</f>
        <v>Young</v>
      </c>
    </row>
    <row r="1137" spans="1:13" x14ac:dyDescent="0.3">
      <c r="A1137">
        <v>50</v>
      </c>
      <c r="B1137" t="s">
        <v>11</v>
      </c>
      <c r="C1137">
        <v>28.12</v>
      </c>
      <c r="D1137">
        <v>3</v>
      </c>
      <c r="E1137" t="s">
        <v>19</v>
      </c>
      <c r="F1137" t="s">
        <v>8</v>
      </c>
      <c r="G1137">
        <v>11085.586799999999</v>
      </c>
      <c r="H1137">
        <v>112.4</v>
      </c>
      <c r="I1137" t="s">
        <v>2</v>
      </c>
      <c r="J1137" t="b">
        <v>0</v>
      </c>
      <c r="K1137" t="s">
        <v>14</v>
      </c>
      <c r="L1137">
        <v>131860.56</v>
      </c>
      <c r="M1137" t="str" cm="1">
        <f t="array" ref="M1137">_xlfn.IFS(A1137&lt;30,"Young",A1137&lt;=50,"Adult",A1137&gt;50,"Senior")</f>
        <v>Adult</v>
      </c>
    </row>
    <row r="1138" spans="1:13" x14ac:dyDescent="0.3">
      <c r="A1138">
        <v>44</v>
      </c>
      <c r="B1138" t="s">
        <v>11</v>
      </c>
      <c r="C1138">
        <v>25</v>
      </c>
      <c r="D1138">
        <v>1</v>
      </c>
      <c r="E1138" t="s">
        <v>19</v>
      </c>
      <c r="F1138" t="s">
        <v>6</v>
      </c>
      <c r="G1138">
        <v>7623.518</v>
      </c>
      <c r="H1138">
        <v>117.1</v>
      </c>
      <c r="I1138" t="s">
        <v>1</v>
      </c>
      <c r="J1138" t="b">
        <v>1</v>
      </c>
      <c r="K1138" t="s">
        <v>14</v>
      </c>
      <c r="L1138">
        <v>139531.01</v>
      </c>
      <c r="M1138" t="str" cm="1">
        <f t="array" ref="M1138">_xlfn.IFS(A1138&lt;30,"Young",A1138&lt;=50,"Adult",A1138&gt;50,"Senior")</f>
        <v>Adult</v>
      </c>
    </row>
    <row r="1139" spans="1:13" x14ac:dyDescent="0.3">
      <c r="A1139">
        <v>26</v>
      </c>
      <c r="B1139" t="s">
        <v>11</v>
      </c>
      <c r="C1139">
        <v>22.23</v>
      </c>
      <c r="D1139">
        <v>0</v>
      </c>
      <c r="E1139" t="s">
        <v>19</v>
      </c>
      <c r="F1139" t="s">
        <v>8</v>
      </c>
      <c r="G1139">
        <v>3176.2876999999999</v>
      </c>
      <c r="H1139">
        <v>139.6</v>
      </c>
      <c r="I1139" t="s">
        <v>0</v>
      </c>
      <c r="J1139" t="b">
        <v>1</v>
      </c>
      <c r="K1139" t="s">
        <v>15</v>
      </c>
      <c r="L1139">
        <v>171665.26</v>
      </c>
      <c r="M1139" t="str" cm="1">
        <f t="array" ref="M1139">_xlfn.IFS(A1139&lt;30,"Young",A1139&lt;=50,"Adult",A1139&gt;50,"Senior")</f>
        <v>Young</v>
      </c>
    </row>
    <row r="1140" spans="1:13" x14ac:dyDescent="0.3">
      <c r="A1140">
        <v>33</v>
      </c>
      <c r="B1140" t="s">
        <v>12</v>
      </c>
      <c r="C1140">
        <v>30.25</v>
      </c>
      <c r="D1140">
        <v>0</v>
      </c>
      <c r="E1140" t="s">
        <v>19</v>
      </c>
      <c r="F1140" t="s">
        <v>7</v>
      </c>
      <c r="G1140">
        <v>3704.3544999999999</v>
      </c>
      <c r="H1140">
        <v>135.4</v>
      </c>
      <c r="I1140" t="s">
        <v>3</v>
      </c>
      <c r="J1140" t="b">
        <v>0</v>
      </c>
      <c r="K1140" t="s">
        <v>14</v>
      </c>
      <c r="L1140">
        <v>128586.37</v>
      </c>
      <c r="M1140" t="str" cm="1">
        <f t="array" ref="M1140">_xlfn.IFS(A1140&lt;30,"Young",A1140&lt;=50,"Adult",A1140&gt;50,"Senior")</f>
        <v>Adult</v>
      </c>
    </row>
    <row r="1141" spans="1:13" x14ac:dyDescent="0.3">
      <c r="A1141">
        <v>19</v>
      </c>
      <c r="B1141" t="s">
        <v>11</v>
      </c>
      <c r="C1141">
        <v>32.49</v>
      </c>
      <c r="D1141">
        <v>0</v>
      </c>
      <c r="E1141" t="s">
        <v>18</v>
      </c>
      <c r="F1141" t="s">
        <v>8</v>
      </c>
      <c r="G1141">
        <v>36898.733079999998</v>
      </c>
      <c r="H1141">
        <v>123.5</v>
      </c>
      <c r="I1141" t="s">
        <v>1</v>
      </c>
      <c r="J1141" t="b">
        <v>0</v>
      </c>
      <c r="K1141" t="s">
        <v>16</v>
      </c>
      <c r="L1141">
        <v>131406.95000000001</v>
      </c>
      <c r="M1141" t="str" cm="1">
        <f t="array" ref="M1141">_xlfn.IFS(A1141&lt;30,"Young",A1141&lt;=50,"Adult",A1141&gt;50,"Senior")</f>
        <v>Young</v>
      </c>
    </row>
    <row r="1142" spans="1:13" x14ac:dyDescent="0.3">
      <c r="A1142">
        <v>50</v>
      </c>
      <c r="B1142" t="s">
        <v>12</v>
      </c>
      <c r="C1142">
        <v>37.07</v>
      </c>
      <c r="D1142">
        <v>1</v>
      </c>
      <c r="E1142" t="s">
        <v>19</v>
      </c>
      <c r="F1142" t="s">
        <v>7</v>
      </c>
      <c r="G1142">
        <v>9048.0272999999997</v>
      </c>
      <c r="H1142">
        <v>138.1</v>
      </c>
      <c r="I1142" t="s">
        <v>0</v>
      </c>
      <c r="J1142" t="b">
        <v>0</v>
      </c>
      <c r="K1142" t="s">
        <v>15</v>
      </c>
      <c r="L1142">
        <v>70578.509999999995</v>
      </c>
      <c r="M1142" t="str" cm="1">
        <f t="array" ref="M1142">_xlfn.IFS(A1142&lt;30,"Young",A1142&lt;=50,"Adult",A1142&gt;50,"Senior")</f>
        <v>Adult</v>
      </c>
    </row>
    <row r="1143" spans="1:13" x14ac:dyDescent="0.3">
      <c r="A1143">
        <v>41</v>
      </c>
      <c r="B1143" t="s">
        <v>11</v>
      </c>
      <c r="C1143">
        <v>32.6</v>
      </c>
      <c r="D1143">
        <v>3</v>
      </c>
      <c r="E1143" t="s">
        <v>19</v>
      </c>
      <c r="F1143" t="s">
        <v>6</v>
      </c>
      <c r="G1143">
        <v>7954.5169999999998</v>
      </c>
      <c r="H1143">
        <v>128.30000000000001</v>
      </c>
      <c r="I1143" t="s">
        <v>2</v>
      </c>
      <c r="J1143" t="b">
        <v>0</v>
      </c>
      <c r="K1143" t="s">
        <v>14</v>
      </c>
      <c r="L1143">
        <v>107056.42</v>
      </c>
      <c r="M1143" t="str" cm="1">
        <f t="array" ref="M1143">_xlfn.IFS(A1143&lt;30,"Young",A1143&lt;=50,"Adult",A1143&gt;50,"Senior")</f>
        <v>Adult</v>
      </c>
    </row>
    <row r="1144" spans="1:13" x14ac:dyDescent="0.3">
      <c r="A1144">
        <v>52</v>
      </c>
      <c r="B1144" t="s">
        <v>11</v>
      </c>
      <c r="C1144">
        <v>24.86</v>
      </c>
      <c r="D1144">
        <v>0</v>
      </c>
      <c r="E1144" t="s">
        <v>19</v>
      </c>
      <c r="F1144" t="s">
        <v>7</v>
      </c>
      <c r="G1144">
        <v>27117.993780000001</v>
      </c>
      <c r="H1144">
        <v>131</v>
      </c>
      <c r="I1144" t="s">
        <v>0</v>
      </c>
      <c r="J1144" t="b">
        <v>1</v>
      </c>
      <c r="K1144" t="s">
        <v>16</v>
      </c>
      <c r="L1144">
        <v>198660.61</v>
      </c>
      <c r="M1144" t="str" cm="1">
        <f t="array" ref="M1144">_xlfn.IFS(A1144&lt;30,"Young",A1144&lt;=50,"Adult",A1144&gt;50,"Senior")</f>
        <v>Senior</v>
      </c>
    </row>
    <row r="1145" spans="1:13" x14ac:dyDescent="0.3">
      <c r="A1145">
        <v>39</v>
      </c>
      <c r="B1145" t="s">
        <v>12</v>
      </c>
      <c r="C1145">
        <v>32.340000000000003</v>
      </c>
      <c r="D1145">
        <v>2</v>
      </c>
      <c r="E1145" t="s">
        <v>19</v>
      </c>
      <c r="F1145" t="s">
        <v>7</v>
      </c>
      <c r="G1145">
        <v>6338.0756000000001</v>
      </c>
      <c r="H1145">
        <v>138.30000000000001</v>
      </c>
      <c r="I1145" t="s">
        <v>0</v>
      </c>
      <c r="J1145" t="b">
        <v>0</v>
      </c>
      <c r="K1145" t="s">
        <v>14</v>
      </c>
      <c r="L1145">
        <v>97165.67</v>
      </c>
      <c r="M1145" t="str" cm="1">
        <f t="array" ref="M1145">_xlfn.IFS(A1145&lt;30,"Young",A1145&lt;=50,"Adult",A1145&gt;50,"Senior")</f>
        <v>Adult</v>
      </c>
    </row>
    <row r="1146" spans="1:13" x14ac:dyDescent="0.3">
      <c r="A1146">
        <v>50</v>
      </c>
      <c r="B1146" t="s">
        <v>12</v>
      </c>
      <c r="C1146">
        <v>32.299999999999997</v>
      </c>
      <c r="D1146">
        <v>2</v>
      </c>
      <c r="E1146" t="s">
        <v>19</v>
      </c>
      <c r="F1146" t="s">
        <v>6</v>
      </c>
      <c r="G1146">
        <v>9630.3970000000008</v>
      </c>
      <c r="H1146">
        <v>117.3</v>
      </c>
      <c r="I1146" t="s">
        <v>3</v>
      </c>
      <c r="J1146" t="b">
        <v>1</v>
      </c>
      <c r="K1146" t="s">
        <v>16</v>
      </c>
      <c r="L1146">
        <v>81674.850000000006</v>
      </c>
      <c r="M1146" t="str" cm="1">
        <f t="array" ref="M1146">_xlfn.IFS(A1146&lt;30,"Young",A1146&lt;=50,"Adult",A1146&gt;50,"Senior")</f>
        <v>Adult</v>
      </c>
    </row>
    <row r="1147" spans="1:13" x14ac:dyDescent="0.3">
      <c r="A1147">
        <v>52</v>
      </c>
      <c r="B1147" t="s">
        <v>12</v>
      </c>
      <c r="C1147">
        <v>32.774999999999999</v>
      </c>
      <c r="D1147">
        <v>3</v>
      </c>
      <c r="E1147" t="s">
        <v>19</v>
      </c>
      <c r="F1147" t="s">
        <v>8</v>
      </c>
      <c r="G1147">
        <v>11289.10925</v>
      </c>
      <c r="H1147">
        <v>136.19999999999999</v>
      </c>
      <c r="I1147" t="s">
        <v>1</v>
      </c>
      <c r="J1147" t="b">
        <v>0</v>
      </c>
      <c r="K1147" t="s">
        <v>14</v>
      </c>
      <c r="L1147">
        <v>145573.43</v>
      </c>
      <c r="M1147" t="str" cm="1">
        <f t="array" ref="M1147">_xlfn.IFS(A1147&lt;30,"Young",A1147&lt;=50,"Adult",A1147&gt;50,"Senior")</f>
        <v>Senior</v>
      </c>
    </row>
    <row r="1148" spans="1:13" x14ac:dyDescent="0.3">
      <c r="A1148">
        <v>60</v>
      </c>
      <c r="B1148" t="s">
        <v>12</v>
      </c>
      <c r="C1148">
        <v>32.799999999999997</v>
      </c>
      <c r="D1148">
        <v>0</v>
      </c>
      <c r="E1148" t="s">
        <v>18</v>
      </c>
      <c r="F1148" t="s">
        <v>6</v>
      </c>
      <c r="G1148">
        <v>52590.829389999999</v>
      </c>
      <c r="H1148">
        <v>135.6</v>
      </c>
      <c r="I1148" t="s">
        <v>2</v>
      </c>
      <c r="J1148" t="b">
        <v>0</v>
      </c>
      <c r="K1148" t="s">
        <v>14</v>
      </c>
      <c r="L1148">
        <v>50502.93</v>
      </c>
      <c r="M1148" t="str" cm="1">
        <f t="array" ref="M1148">_xlfn.IFS(A1148&lt;30,"Young",A1148&lt;=50,"Adult",A1148&gt;50,"Senior")</f>
        <v>Senior</v>
      </c>
    </row>
    <row r="1149" spans="1:13" x14ac:dyDescent="0.3">
      <c r="A1149">
        <v>20</v>
      </c>
      <c r="B1149" t="s">
        <v>11</v>
      </c>
      <c r="C1149">
        <v>31.92</v>
      </c>
      <c r="D1149">
        <v>0</v>
      </c>
      <c r="E1149" t="s">
        <v>19</v>
      </c>
      <c r="F1149" t="s">
        <v>8</v>
      </c>
      <c r="G1149">
        <v>2261.5688</v>
      </c>
      <c r="H1149">
        <v>110.3</v>
      </c>
      <c r="I1149" t="s">
        <v>2</v>
      </c>
      <c r="J1149" t="b">
        <v>0</v>
      </c>
      <c r="K1149" t="s">
        <v>15</v>
      </c>
      <c r="L1149">
        <v>78076.06</v>
      </c>
      <c r="M1149" t="str" cm="1">
        <f t="array" ref="M1149">_xlfn.IFS(A1149&lt;30,"Young",A1149&lt;=50,"Adult",A1149&gt;50,"Senior")</f>
        <v>Young</v>
      </c>
    </row>
    <row r="1150" spans="1:13" x14ac:dyDescent="0.3">
      <c r="A1150">
        <v>55</v>
      </c>
      <c r="B1150" t="s">
        <v>12</v>
      </c>
      <c r="C1150">
        <v>21.5</v>
      </c>
      <c r="D1150">
        <v>1</v>
      </c>
      <c r="E1150" t="s">
        <v>19</v>
      </c>
      <c r="F1150" t="s">
        <v>6</v>
      </c>
      <c r="G1150">
        <v>10791.96</v>
      </c>
      <c r="H1150">
        <v>112.1</v>
      </c>
      <c r="I1150" t="s">
        <v>3</v>
      </c>
      <c r="J1150" t="b">
        <v>0</v>
      </c>
      <c r="K1150" t="s">
        <v>14</v>
      </c>
      <c r="L1150">
        <v>191672.95</v>
      </c>
      <c r="M1150" t="str" cm="1">
        <f t="array" ref="M1150">_xlfn.IFS(A1150&lt;30,"Young",A1150&lt;=50,"Adult",A1150&gt;50,"Senior")</f>
        <v>Senior</v>
      </c>
    </row>
    <row r="1151" spans="1:13" x14ac:dyDescent="0.3">
      <c r="A1151">
        <v>42</v>
      </c>
      <c r="B1151" t="s">
        <v>12</v>
      </c>
      <c r="C1151">
        <v>34.1</v>
      </c>
      <c r="D1151">
        <v>0</v>
      </c>
      <c r="E1151" t="s">
        <v>19</v>
      </c>
      <c r="F1151" t="s">
        <v>6</v>
      </c>
      <c r="G1151">
        <v>5979.7309999999998</v>
      </c>
      <c r="H1151">
        <v>121.1</v>
      </c>
      <c r="I1151" t="s">
        <v>2</v>
      </c>
      <c r="J1151" t="b">
        <v>1</v>
      </c>
      <c r="K1151" t="s">
        <v>14</v>
      </c>
      <c r="L1151">
        <v>50924.1</v>
      </c>
      <c r="M1151" t="str" cm="1">
        <f t="array" ref="M1151">_xlfn.IFS(A1151&lt;30,"Young",A1151&lt;=50,"Adult",A1151&gt;50,"Senior")</f>
        <v>Adult</v>
      </c>
    </row>
    <row r="1152" spans="1:13" x14ac:dyDescent="0.3">
      <c r="A1152">
        <v>18</v>
      </c>
      <c r="B1152" t="s">
        <v>11</v>
      </c>
      <c r="C1152">
        <v>30.305</v>
      </c>
      <c r="D1152">
        <v>0</v>
      </c>
      <c r="E1152" t="s">
        <v>19</v>
      </c>
      <c r="F1152" t="s">
        <v>9</v>
      </c>
      <c r="G1152">
        <v>2203.7359499999998</v>
      </c>
      <c r="H1152">
        <v>110.1</v>
      </c>
      <c r="I1152" t="s">
        <v>0</v>
      </c>
      <c r="J1152" t="b">
        <v>0</v>
      </c>
      <c r="K1152" t="s">
        <v>14</v>
      </c>
      <c r="L1152">
        <v>190308.65</v>
      </c>
      <c r="M1152" t="str" cm="1">
        <f t="array" ref="M1152">_xlfn.IFS(A1152&lt;30,"Young",A1152&lt;=50,"Adult",A1152&gt;50,"Senior")</f>
        <v>Young</v>
      </c>
    </row>
    <row r="1153" spans="1:13" x14ac:dyDescent="0.3">
      <c r="A1153">
        <v>58</v>
      </c>
      <c r="B1153" t="s">
        <v>11</v>
      </c>
      <c r="C1153">
        <v>36.479999999999997</v>
      </c>
      <c r="D1153">
        <v>0</v>
      </c>
      <c r="E1153" t="s">
        <v>19</v>
      </c>
      <c r="F1153" t="s">
        <v>8</v>
      </c>
      <c r="G1153">
        <v>12235.8392</v>
      </c>
      <c r="H1153">
        <v>122.4</v>
      </c>
      <c r="I1153" t="s">
        <v>0</v>
      </c>
      <c r="J1153" t="b">
        <v>1</v>
      </c>
      <c r="K1153" t="s">
        <v>16</v>
      </c>
      <c r="L1153">
        <v>162483.51999999999</v>
      </c>
      <c r="M1153" t="str" cm="1">
        <f t="array" ref="M1153">_xlfn.IFS(A1153&lt;30,"Young",A1153&lt;=50,"Adult",A1153&gt;50,"Senior")</f>
        <v>Senior</v>
      </c>
    </row>
    <row r="1154" spans="1:13" x14ac:dyDescent="0.3">
      <c r="A1154">
        <v>43</v>
      </c>
      <c r="B1154" t="s">
        <v>11</v>
      </c>
      <c r="C1154">
        <v>32.56</v>
      </c>
      <c r="D1154">
        <v>3</v>
      </c>
      <c r="E1154" t="s">
        <v>18</v>
      </c>
      <c r="F1154" t="s">
        <v>7</v>
      </c>
      <c r="G1154">
        <v>40941.285400000001</v>
      </c>
      <c r="H1154">
        <v>122.7</v>
      </c>
      <c r="I1154" t="s">
        <v>3</v>
      </c>
      <c r="J1154" t="b">
        <v>1</v>
      </c>
      <c r="K1154" t="s">
        <v>16</v>
      </c>
      <c r="L1154">
        <v>84015.18</v>
      </c>
      <c r="M1154" t="str" cm="1">
        <f t="array" ref="M1154">_xlfn.IFS(A1154&lt;30,"Young",A1154&lt;=50,"Adult",A1154&gt;50,"Senior")</f>
        <v>Adult</v>
      </c>
    </row>
    <row r="1155" spans="1:13" x14ac:dyDescent="0.3">
      <c r="A1155">
        <v>35</v>
      </c>
      <c r="B1155" t="s">
        <v>11</v>
      </c>
      <c r="C1155">
        <v>35.814999999999998</v>
      </c>
      <c r="D1155">
        <v>1</v>
      </c>
      <c r="E1155" t="s">
        <v>19</v>
      </c>
      <c r="F1155" t="s">
        <v>8</v>
      </c>
      <c r="G1155">
        <v>5630.4578499999998</v>
      </c>
      <c r="H1155">
        <v>124.8</v>
      </c>
      <c r="I1155" t="s">
        <v>2</v>
      </c>
      <c r="J1155" t="b">
        <v>0</v>
      </c>
      <c r="K1155" t="s">
        <v>15</v>
      </c>
      <c r="L1155">
        <v>174187.01</v>
      </c>
      <c r="M1155" t="str" cm="1">
        <f t="array" ref="M1155">_xlfn.IFS(A1155&lt;30,"Young",A1155&lt;=50,"Adult",A1155&gt;50,"Senior")</f>
        <v>Adult</v>
      </c>
    </row>
    <row r="1156" spans="1:13" x14ac:dyDescent="0.3">
      <c r="A1156">
        <v>48</v>
      </c>
      <c r="B1156" t="s">
        <v>11</v>
      </c>
      <c r="C1156">
        <v>27.93</v>
      </c>
      <c r="D1156">
        <v>4</v>
      </c>
      <c r="E1156" t="s">
        <v>19</v>
      </c>
      <c r="F1156" t="s">
        <v>8</v>
      </c>
      <c r="G1156">
        <v>11015.1747</v>
      </c>
      <c r="H1156">
        <v>120.6</v>
      </c>
      <c r="I1156" t="s">
        <v>1</v>
      </c>
      <c r="J1156" t="b">
        <v>1</v>
      </c>
      <c r="K1156" t="s">
        <v>15</v>
      </c>
      <c r="L1156">
        <v>36512.33</v>
      </c>
      <c r="M1156" t="str" cm="1">
        <f t="array" ref="M1156">_xlfn.IFS(A1156&lt;30,"Young",A1156&lt;=50,"Adult",A1156&gt;50,"Senior")</f>
        <v>Adult</v>
      </c>
    </row>
    <row r="1157" spans="1:13" x14ac:dyDescent="0.3">
      <c r="A1157">
        <v>36</v>
      </c>
      <c r="B1157" t="s">
        <v>11</v>
      </c>
      <c r="C1157">
        <v>22.135000000000002</v>
      </c>
      <c r="D1157">
        <v>3</v>
      </c>
      <c r="E1157" t="s">
        <v>19</v>
      </c>
      <c r="F1157" t="s">
        <v>9</v>
      </c>
      <c r="G1157">
        <v>7228.2156500000001</v>
      </c>
      <c r="H1157">
        <v>138.6</v>
      </c>
      <c r="I1157" t="s">
        <v>1</v>
      </c>
      <c r="J1157" t="b">
        <v>1</v>
      </c>
      <c r="K1157" t="s">
        <v>15</v>
      </c>
      <c r="L1157">
        <v>171274.23</v>
      </c>
      <c r="M1157" t="str" cm="1">
        <f t="array" ref="M1157">_xlfn.IFS(A1157&lt;30,"Young",A1157&lt;=50,"Adult",A1157&gt;50,"Senior")</f>
        <v>Adult</v>
      </c>
    </row>
    <row r="1158" spans="1:13" x14ac:dyDescent="0.3">
      <c r="A1158">
        <v>19</v>
      </c>
      <c r="B1158" t="s">
        <v>12</v>
      </c>
      <c r="C1158">
        <v>44.88</v>
      </c>
      <c r="D1158">
        <v>0</v>
      </c>
      <c r="E1158" t="s">
        <v>18</v>
      </c>
      <c r="F1158" t="s">
        <v>7</v>
      </c>
      <c r="G1158">
        <v>39722.746200000001</v>
      </c>
      <c r="H1158">
        <v>128.80000000000001</v>
      </c>
      <c r="I1158" t="s">
        <v>2</v>
      </c>
      <c r="J1158" t="b">
        <v>1</v>
      </c>
      <c r="K1158" t="s">
        <v>16</v>
      </c>
      <c r="L1158">
        <v>91777.78</v>
      </c>
      <c r="M1158" t="str" cm="1">
        <f t="array" ref="M1158">_xlfn.IFS(A1158&lt;30,"Young",A1158&lt;=50,"Adult",A1158&gt;50,"Senior")</f>
        <v>Young</v>
      </c>
    </row>
    <row r="1159" spans="1:13" x14ac:dyDescent="0.3">
      <c r="A1159">
        <v>23</v>
      </c>
      <c r="B1159" t="s">
        <v>11</v>
      </c>
      <c r="C1159">
        <v>23.18</v>
      </c>
      <c r="D1159">
        <v>2</v>
      </c>
      <c r="E1159" t="s">
        <v>19</v>
      </c>
      <c r="F1159" t="s">
        <v>8</v>
      </c>
      <c r="G1159">
        <v>14426.073850000001</v>
      </c>
      <c r="H1159">
        <v>130</v>
      </c>
      <c r="I1159" t="s">
        <v>3</v>
      </c>
      <c r="J1159" t="b">
        <v>0</v>
      </c>
      <c r="K1159" t="s">
        <v>15</v>
      </c>
      <c r="L1159">
        <v>74422.149999999994</v>
      </c>
      <c r="M1159" t="str" cm="1">
        <f t="array" ref="M1159">_xlfn.IFS(A1159&lt;30,"Young",A1159&lt;=50,"Adult",A1159&gt;50,"Senior")</f>
        <v>Young</v>
      </c>
    </row>
    <row r="1160" spans="1:13" x14ac:dyDescent="0.3">
      <c r="A1160">
        <v>20</v>
      </c>
      <c r="B1160" t="s">
        <v>11</v>
      </c>
      <c r="C1160">
        <v>30.59</v>
      </c>
      <c r="D1160">
        <v>0</v>
      </c>
      <c r="E1160" t="s">
        <v>19</v>
      </c>
      <c r="F1160" t="s">
        <v>9</v>
      </c>
      <c r="G1160">
        <v>2459.7201</v>
      </c>
      <c r="H1160">
        <v>120.3</v>
      </c>
      <c r="I1160" t="s">
        <v>2</v>
      </c>
      <c r="J1160" t="b">
        <v>1</v>
      </c>
      <c r="K1160" t="s">
        <v>15</v>
      </c>
      <c r="L1160">
        <v>186230.66</v>
      </c>
      <c r="M1160" t="str" cm="1">
        <f t="array" ref="M1160">_xlfn.IFS(A1160&lt;30,"Young",A1160&lt;=50,"Adult",A1160&gt;50,"Senior")</f>
        <v>Young</v>
      </c>
    </row>
    <row r="1161" spans="1:13" x14ac:dyDescent="0.3">
      <c r="A1161">
        <v>32</v>
      </c>
      <c r="B1161" t="s">
        <v>11</v>
      </c>
      <c r="C1161">
        <v>41.1</v>
      </c>
      <c r="D1161">
        <v>0</v>
      </c>
      <c r="E1161" t="s">
        <v>19</v>
      </c>
      <c r="F1161" t="s">
        <v>6</v>
      </c>
      <c r="G1161">
        <v>3989.8409999999999</v>
      </c>
      <c r="H1161">
        <v>122.5</v>
      </c>
      <c r="I1161" t="s">
        <v>1</v>
      </c>
      <c r="J1161" t="b">
        <v>0</v>
      </c>
      <c r="K1161" t="s">
        <v>14</v>
      </c>
      <c r="L1161">
        <v>168948.67</v>
      </c>
      <c r="M1161" t="str" cm="1">
        <f t="array" ref="M1161">_xlfn.IFS(A1161&lt;30,"Young",A1161&lt;=50,"Adult",A1161&gt;50,"Senior")</f>
        <v>Adult</v>
      </c>
    </row>
    <row r="1162" spans="1:13" x14ac:dyDescent="0.3">
      <c r="A1162">
        <v>43</v>
      </c>
      <c r="B1162" t="s">
        <v>11</v>
      </c>
      <c r="C1162">
        <v>34.58</v>
      </c>
      <c r="D1162">
        <v>1</v>
      </c>
      <c r="E1162" t="s">
        <v>19</v>
      </c>
      <c r="F1162" t="s">
        <v>8</v>
      </c>
      <c r="G1162">
        <v>7727.2532000000001</v>
      </c>
      <c r="H1162">
        <v>118.5</v>
      </c>
      <c r="I1162" t="s">
        <v>2</v>
      </c>
      <c r="J1162" t="b">
        <v>1</v>
      </c>
      <c r="K1162" t="s">
        <v>14</v>
      </c>
      <c r="L1162">
        <v>112343.65</v>
      </c>
      <c r="M1162" t="str" cm="1">
        <f t="array" ref="M1162">_xlfn.IFS(A1162&lt;30,"Young",A1162&lt;=50,"Adult",A1162&gt;50,"Senior")</f>
        <v>Adult</v>
      </c>
    </row>
    <row r="1163" spans="1:13" x14ac:dyDescent="0.3">
      <c r="A1163">
        <v>34</v>
      </c>
      <c r="B1163" t="s">
        <v>12</v>
      </c>
      <c r="C1163">
        <v>42.13</v>
      </c>
      <c r="D1163">
        <v>2</v>
      </c>
      <c r="E1163" t="s">
        <v>19</v>
      </c>
      <c r="F1163" t="s">
        <v>7</v>
      </c>
      <c r="G1163">
        <v>5124.1886999999997</v>
      </c>
      <c r="H1163">
        <v>134.4</v>
      </c>
      <c r="I1163" t="s">
        <v>0</v>
      </c>
      <c r="J1163" t="b">
        <v>1</v>
      </c>
      <c r="K1163" t="s">
        <v>16</v>
      </c>
      <c r="L1163">
        <v>36473.660000000003</v>
      </c>
      <c r="M1163" t="str" cm="1">
        <f t="array" ref="M1163">_xlfn.IFS(A1163&lt;30,"Young",A1163&lt;=50,"Adult",A1163&gt;50,"Senior")</f>
        <v>Adult</v>
      </c>
    </row>
    <row r="1164" spans="1:13" x14ac:dyDescent="0.3">
      <c r="A1164">
        <v>30</v>
      </c>
      <c r="B1164" t="s">
        <v>12</v>
      </c>
      <c r="C1164">
        <v>38.83</v>
      </c>
      <c r="D1164">
        <v>1</v>
      </c>
      <c r="E1164" t="s">
        <v>19</v>
      </c>
      <c r="F1164" t="s">
        <v>7</v>
      </c>
      <c r="G1164">
        <v>18963.171920000001</v>
      </c>
      <c r="H1164">
        <v>121.1</v>
      </c>
      <c r="I1164" t="s">
        <v>3</v>
      </c>
      <c r="J1164" t="b">
        <v>0</v>
      </c>
      <c r="K1164" t="s">
        <v>16</v>
      </c>
      <c r="L1164">
        <v>135250.82999999999</v>
      </c>
      <c r="M1164" t="str" cm="1">
        <f t="array" ref="M1164">_xlfn.IFS(A1164&lt;30,"Young",A1164&lt;=50,"Adult",A1164&gt;50,"Senior")</f>
        <v>Adult</v>
      </c>
    </row>
    <row r="1165" spans="1:13" x14ac:dyDescent="0.3">
      <c r="A1165">
        <v>18</v>
      </c>
      <c r="B1165" t="s">
        <v>11</v>
      </c>
      <c r="C1165">
        <v>28.215</v>
      </c>
      <c r="D1165">
        <v>0</v>
      </c>
      <c r="E1165" t="s">
        <v>19</v>
      </c>
      <c r="F1165" t="s">
        <v>9</v>
      </c>
      <c r="G1165">
        <v>2200.8308499999998</v>
      </c>
      <c r="H1165">
        <v>117.7</v>
      </c>
      <c r="I1165" t="s">
        <v>3</v>
      </c>
      <c r="J1165" t="b">
        <v>0</v>
      </c>
      <c r="K1165" t="s">
        <v>14</v>
      </c>
      <c r="L1165">
        <v>69175.22</v>
      </c>
      <c r="M1165" t="str" cm="1">
        <f t="array" ref="M1165">_xlfn.IFS(A1165&lt;30,"Young",A1165&lt;=50,"Adult",A1165&gt;50,"Senior")</f>
        <v>Young</v>
      </c>
    </row>
    <row r="1166" spans="1:13" x14ac:dyDescent="0.3">
      <c r="A1166">
        <v>41</v>
      </c>
      <c r="B1166" t="s">
        <v>11</v>
      </c>
      <c r="C1166">
        <v>28.31</v>
      </c>
      <c r="D1166">
        <v>1</v>
      </c>
      <c r="E1166" t="s">
        <v>19</v>
      </c>
      <c r="F1166" t="s">
        <v>8</v>
      </c>
      <c r="G1166">
        <v>7153.5538999999999</v>
      </c>
      <c r="H1166">
        <v>136</v>
      </c>
      <c r="I1166" t="s">
        <v>3</v>
      </c>
      <c r="J1166" t="b">
        <v>1</v>
      </c>
      <c r="K1166" t="s">
        <v>16</v>
      </c>
      <c r="L1166">
        <v>176976.88</v>
      </c>
      <c r="M1166" t="str" cm="1">
        <f t="array" ref="M1166">_xlfn.IFS(A1166&lt;30,"Young",A1166&lt;=50,"Adult",A1166&gt;50,"Senior")</f>
        <v>Adult</v>
      </c>
    </row>
    <row r="1167" spans="1:13" x14ac:dyDescent="0.3">
      <c r="A1167">
        <v>35</v>
      </c>
      <c r="B1167" t="s">
        <v>11</v>
      </c>
      <c r="C1167">
        <v>26.125</v>
      </c>
      <c r="D1167">
        <v>0</v>
      </c>
      <c r="E1167" t="s">
        <v>19</v>
      </c>
      <c r="F1167" t="s">
        <v>9</v>
      </c>
      <c r="G1167">
        <v>5227.9887500000004</v>
      </c>
      <c r="H1167">
        <v>129.4</v>
      </c>
      <c r="I1167" t="s">
        <v>0</v>
      </c>
      <c r="J1167" t="b">
        <v>1</v>
      </c>
      <c r="K1167" t="s">
        <v>15</v>
      </c>
      <c r="L1167">
        <v>44279.92</v>
      </c>
      <c r="M1167" t="str" cm="1">
        <f t="array" ref="M1167">_xlfn.IFS(A1167&lt;30,"Young",A1167&lt;=50,"Adult",A1167&gt;50,"Senior")</f>
        <v>Adult</v>
      </c>
    </row>
    <row r="1168" spans="1:13" x14ac:dyDescent="0.3">
      <c r="A1168">
        <v>57</v>
      </c>
      <c r="B1168" t="s">
        <v>12</v>
      </c>
      <c r="C1168">
        <v>40.369999999999997</v>
      </c>
      <c r="D1168">
        <v>0</v>
      </c>
      <c r="E1168" t="s">
        <v>19</v>
      </c>
      <c r="F1168" t="s">
        <v>7</v>
      </c>
      <c r="G1168">
        <v>10982.5013</v>
      </c>
      <c r="H1168">
        <v>116.7</v>
      </c>
      <c r="I1168" t="s">
        <v>3</v>
      </c>
      <c r="J1168" t="b">
        <v>0</v>
      </c>
      <c r="K1168" t="s">
        <v>15</v>
      </c>
      <c r="L1168">
        <v>39120.11</v>
      </c>
      <c r="M1168" t="str" cm="1">
        <f t="array" ref="M1168">_xlfn.IFS(A1168&lt;30,"Young",A1168&lt;=50,"Adult",A1168&gt;50,"Senior")</f>
        <v>Senior</v>
      </c>
    </row>
    <row r="1169" spans="1:13" x14ac:dyDescent="0.3">
      <c r="A1169">
        <v>29</v>
      </c>
      <c r="B1169" t="s">
        <v>11</v>
      </c>
      <c r="C1169">
        <v>24.6</v>
      </c>
      <c r="D1169">
        <v>2</v>
      </c>
      <c r="E1169" t="s">
        <v>19</v>
      </c>
      <c r="F1169" t="s">
        <v>6</v>
      </c>
      <c r="G1169">
        <v>4529.4769999999999</v>
      </c>
      <c r="H1169">
        <v>118.1</v>
      </c>
      <c r="I1169" t="s">
        <v>2</v>
      </c>
      <c r="J1169" t="b">
        <v>1</v>
      </c>
      <c r="K1169" t="s">
        <v>14</v>
      </c>
      <c r="L1169">
        <v>194965.83</v>
      </c>
      <c r="M1169" t="str" cm="1">
        <f t="array" ref="M1169">_xlfn.IFS(A1169&lt;30,"Young",A1169&lt;=50,"Adult",A1169&gt;50,"Senior")</f>
        <v>Young</v>
      </c>
    </row>
    <row r="1170" spans="1:13" x14ac:dyDescent="0.3">
      <c r="A1170">
        <v>32</v>
      </c>
      <c r="B1170" t="s">
        <v>12</v>
      </c>
      <c r="C1170">
        <v>35.200000000000003</v>
      </c>
      <c r="D1170">
        <v>2</v>
      </c>
      <c r="E1170" t="s">
        <v>19</v>
      </c>
      <c r="F1170" t="s">
        <v>6</v>
      </c>
      <c r="G1170">
        <v>4670.6400000000003</v>
      </c>
      <c r="H1170">
        <v>110.2</v>
      </c>
      <c r="I1170" t="s">
        <v>0</v>
      </c>
      <c r="J1170" t="b">
        <v>1</v>
      </c>
      <c r="K1170" t="s">
        <v>16</v>
      </c>
      <c r="L1170">
        <v>95902.74</v>
      </c>
      <c r="M1170" t="str" cm="1">
        <f t="array" ref="M1170">_xlfn.IFS(A1170&lt;30,"Young",A1170&lt;=50,"Adult",A1170&gt;50,"Senior")</f>
        <v>Adult</v>
      </c>
    </row>
    <row r="1171" spans="1:13" x14ac:dyDescent="0.3">
      <c r="A1171">
        <v>37</v>
      </c>
      <c r="B1171" t="s">
        <v>11</v>
      </c>
      <c r="C1171">
        <v>34.104999999999997</v>
      </c>
      <c r="D1171">
        <v>1</v>
      </c>
      <c r="E1171" t="s">
        <v>19</v>
      </c>
      <c r="F1171" t="s">
        <v>8</v>
      </c>
      <c r="G1171">
        <v>6112.3529500000004</v>
      </c>
      <c r="H1171">
        <v>112.9</v>
      </c>
      <c r="I1171" t="s">
        <v>3</v>
      </c>
      <c r="J1171" t="b">
        <v>0</v>
      </c>
      <c r="K1171" t="s">
        <v>14</v>
      </c>
      <c r="L1171">
        <v>194967.42</v>
      </c>
      <c r="M1171" t="str" cm="1">
        <f t="array" ref="M1171">_xlfn.IFS(A1171&lt;30,"Young",A1171&lt;=50,"Adult",A1171&gt;50,"Senior")</f>
        <v>Adult</v>
      </c>
    </row>
    <row r="1172" spans="1:13" x14ac:dyDescent="0.3">
      <c r="A1172">
        <v>18</v>
      </c>
      <c r="B1172" t="s">
        <v>12</v>
      </c>
      <c r="C1172">
        <v>27.36</v>
      </c>
      <c r="D1172">
        <v>1</v>
      </c>
      <c r="E1172" t="s">
        <v>18</v>
      </c>
      <c r="F1172" t="s">
        <v>9</v>
      </c>
      <c r="G1172">
        <v>17178.682400000002</v>
      </c>
      <c r="H1172">
        <v>125.6</v>
      </c>
      <c r="I1172" t="s">
        <v>2</v>
      </c>
      <c r="J1172" t="b">
        <v>0</v>
      </c>
      <c r="K1172" t="s">
        <v>14</v>
      </c>
      <c r="L1172">
        <v>157154.85999999999</v>
      </c>
      <c r="M1172" t="str" cm="1">
        <f t="array" ref="M1172">_xlfn.IFS(A1172&lt;30,"Young",A1172&lt;=50,"Adult",A1172&gt;50,"Senior")</f>
        <v>Young</v>
      </c>
    </row>
    <row r="1173" spans="1:13" x14ac:dyDescent="0.3">
      <c r="A1173">
        <v>43</v>
      </c>
      <c r="B1173" t="s">
        <v>11</v>
      </c>
      <c r="C1173">
        <v>26.7</v>
      </c>
      <c r="D1173">
        <v>2</v>
      </c>
      <c r="E1173" t="s">
        <v>18</v>
      </c>
      <c r="F1173" t="s">
        <v>6</v>
      </c>
      <c r="G1173">
        <v>22478.6</v>
      </c>
      <c r="H1173">
        <v>123.8</v>
      </c>
      <c r="I1173" t="s">
        <v>3</v>
      </c>
      <c r="J1173" t="b">
        <v>1</v>
      </c>
      <c r="K1173" t="s">
        <v>16</v>
      </c>
      <c r="L1173">
        <v>31548.93</v>
      </c>
      <c r="M1173" t="str" cm="1">
        <f t="array" ref="M1173">_xlfn.IFS(A1173&lt;30,"Young",A1173&lt;=50,"Adult",A1173&gt;50,"Senior")</f>
        <v>Adult</v>
      </c>
    </row>
    <row r="1174" spans="1:13" x14ac:dyDescent="0.3">
      <c r="A1174">
        <v>56</v>
      </c>
      <c r="B1174" t="s">
        <v>11</v>
      </c>
      <c r="C1174">
        <v>41.91</v>
      </c>
      <c r="D1174">
        <v>0</v>
      </c>
      <c r="E1174" t="s">
        <v>19</v>
      </c>
      <c r="F1174" t="s">
        <v>7</v>
      </c>
      <c r="G1174">
        <v>11093.6229</v>
      </c>
      <c r="H1174">
        <v>127.8</v>
      </c>
      <c r="I1174" t="s">
        <v>3</v>
      </c>
      <c r="J1174" t="b">
        <v>0</v>
      </c>
      <c r="K1174" t="s">
        <v>15</v>
      </c>
      <c r="L1174">
        <v>148643.35999999999</v>
      </c>
      <c r="M1174" t="str" cm="1">
        <f t="array" ref="M1174">_xlfn.IFS(A1174&lt;30,"Young",A1174&lt;=50,"Adult",A1174&gt;50,"Senior")</f>
        <v>Senior</v>
      </c>
    </row>
    <row r="1175" spans="1:13" x14ac:dyDescent="0.3">
      <c r="A1175">
        <v>38</v>
      </c>
      <c r="B1175" t="s">
        <v>12</v>
      </c>
      <c r="C1175">
        <v>29.26</v>
      </c>
      <c r="D1175">
        <v>2</v>
      </c>
      <c r="E1175" t="s">
        <v>19</v>
      </c>
      <c r="F1175" t="s">
        <v>8</v>
      </c>
      <c r="G1175">
        <v>6457.8433999999997</v>
      </c>
      <c r="H1175">
        <v>117.3</v>
      </c>
      <c r="I1175" t="s">
        <v>2</v>
      </c>
      <c r="J1175" t="b">
        <v>1</v>
      </c>
      <c r="K1175" t="s">
        <v>14</v>
      </c>
      <c r="L1175">
        <v>111316.84</v>
      </c>
      <c r="M1175" t="str" cm="1">
        <f t="array" ref="M1175">_xlfn.IFS(A1175&lt;30,"Young",A1175&lt;=50,"Adult",A1175&gt;50,"Senior")</f>
        <v>Adult</v>
      </c>
    </row>
    <row r="1176" spans="1:13" x14ac:dyDescent="0.3">
      <c r="A1176">
        <v>29</v>
      </c>
      <c r="B1176" t="s">
        <v>12</v>
      </c>
      <c r="C1176">
        <v>32.11</v>
      </c>
      <c r="D1176">
        <v>2</v>
      </c>
      <c r="E1176" t="s">
        <v>19</v>
      </c>
      <c r="F1176" t="s">
        <v>8</v>
      </c>
      <c r="G1176">
        <v>4433.9159</v>
      </c>
      <c r="H1176">
        <v>126.5</v>
      </c>
      <c r="I1176" t="s">
        <v>3</v>
      </c>
      <c r="J1176" t="b">
        <v>1</v>
      </c>
      <c r="K1176" t="s">
        <v>14</v>
      </c>
      <c r="L1176">
        <v>148365.74</v>
      </c>
      <c r="M1176" t="str" cm="1">
        <f t="array" ref="M1176">_xlfn.IFS(A1176&lt;30,"Young",A1176&lt;=50,"Adult",A1176&gt;50,"Senior")</f>
        <v>Young</v>
      </c>
    </row>
    <row r="1177" spans="1:13" x14ac:dyDescent="0.3">
      <c r="A1177">
        <v>22</v>
      </c>
      <c r="B1177" t="s">
        <v>11</v>
      </c>
      <c r="C1177">
        <v>27.1</v>
      </c>
      <c r="D1177">
        <v>0</v>
      </c>
      <c r="E1177" t="s">
        <v>19</v>
      </c>
      <c r="F1177" t="s">
        <v>6</v>
      </c>
      <c r="G1177">
        <v>2154.3609999999999</v>
      </c>
      <c r="H1177">
        <v>134.80000000000001</v>
      </c>
      <c r="I1177" t="s">
        <v>0</v>
      </c>
      <c r="J1177" t="b">
        <v>0</v>
      </c>
      <c r="K1177" t="s">
        <v>14</v>
      </c>
      <c r="L1177">
        <v>83288.97</v>
      </c>
      <c r="M1177" t="str" cm="1">
        <f t="array" ref="M1177">_xlfn.IFS(A1177&lt;30,"Young",A1177&lt;=50,"Adult",A1177&gt;50,"Senior")</f>
        <v>Young</v>
      </c>
    </row>
    <row r="1178" spans="1:13" x14ac:dyDescent="0.3">
      <c r="A1178">
        <v>52</v>
      </c>
      <c r="B1178" t="s">
        <v>11</v>
      </c>
      <c r="C1178">
        <v>24.13</v>
      </c>
      <c r="D1178">
        <v>1</v>
      </c>
      <c r="E1178" t="s">
        <v>18</v>
      </c>
      <c r="F1178" t="s">
        <v>8</v>
      </c>
      <c r="G1178">
        <v>23887.662700000001</v>
      </c>
      <c r="H1178">
        <v>113.5</v>
      </c>
      <c r="I1178" t="s">
        <v>1</v>
      </c>
      <c r="J1178" t="b">
        <v>0</v>
      </c>
      <c r="K1178" t="s">
        <v>14</v>
      </c>
      <c r="L1178">
        <v>171296.23</v>
      </c>
      <c r="M1178" t="str" cm="1">
        <f t="array" ref="M1178">_xlfn.IFS(A1178&lt;30,"Young",A1178&lt;=50,"Adult",A1178&gt;50,"Senior")</f>
        <v>Senior</v>
      </c>
    </row>
    <row r="1179" spans="1:13" x14ac:dyDescent="0.3">
      <c r="A1179">
        <v>40</v>
      </c>
      <c r="B1179" t="s">
        <v>11</v>
      </c>
      <c r="C1179">
        <v>27.4</v>
      </c>
      <c r="D1179">
        <v>1</v>
      </c>
      <c r="E1179" t="s">
        <v>19</v>
      </c>
      <c r="F1179" t="s">
        <v>6</v>
      </c>
      <c r="G1179">
        <v>6496.8860000000004</v>
      </c>
      <c r="H1179">
        <v>125.3</v>
      </c>
      <c r="I1179" t="s">
        <v>2</v>
      </c>
      <c r="J1179" t="b">
        <v>0</v>
      </c>
      <c r="K1179" t="s">
        <v>16</v>
      </c>
      <c r="L1179">
        <v>41214.769999999997</v>
      </c>
      <c r="M1179" t="str" cm="1">
        <f t="array" ref="M1179">_xlfn.IFS(A1179&lt;30,"Young",A1179&lt;=50,"Adult",A1179&gt;50,"Senior")</f>
        <v>Adult</v>
      </c>
    </row>
    <row r="1180" spans="1:13" x14ac:dyDescent="0.3">
      <c r="A1180">
        <v>23</v>
      </c>
      <c r="B1180" t="s">
        <v>11</v>
      </c>
      <c r="C1180">
        <v>34.865000000000002</v>
      </c>
      <c r="D1180">
        <v>0</v>
      </c>
      <c r="E1180" t="s">
        <v>19</v>
      </c>
      <c r="F1180" t="s">
        <v>9</v>
      </c>
      <c r="G1180">
        <v>2899.4893499999998</v>
      </c>
      <c r="H1180">
        <v>128.80000000000001</v>
      </c>
      <c r="I1180" t="s">
        <v>0</v>
      </c>
      <c r="J1180" t="b">
        <v>0</v>
      </c>
      <c r="K1180" t="s">
        <v>15</v>
      </c>
      <c r="L1180">
        <v>49948.07</v>
      </c>
      <c r="M1180" t="str" cm="1">
        <f t="array" ref="M1180">_xlfn.IFS(A1180&lt;30,"Young",A1180&lt;=50,"Adult",A1180&gt;50,"Senior")</f>
        <v>Young</v>
      </c>
    </row>
    <row r="1181" spans="1:13" x14ac:dyDescent="0.3">
      <c r="A1181">
        <v>31</v>
      </c>
      <c r="B1181" t="s">
        <v>12</v>
      </c>
      <c r="C1181">
        <v>29.81</v>
      </c>
      <c r="D1181">
        <v>0</v>
      </c>
      <c r="E1181" t="s">
        <v>18</v>
      </c>
      <c r="F1181" t="s">
        <v>7</v>
      </c>
      <c r="G1181">
        <v>19350.368900000001</v>
      </c>
      <c r="H1181">
        <v>129.19999999999999</v>
      </c>
      <c r="I1181" t="s">
        <v>0</v>
      </c>
      <c r="J1181" t="b">
        <v>1</v>
      </c>
      <c r="K1181" t="s">
        <v>14</v>
      </c>
      <c r="L1181">
        <v>31369.67</v>
      </c>
      <c r="M1181" t="str" cm="1">
        <f t="array" ref="M1181">_xlfn.IFS(A1181&lt;30,"Young",A1181&lt;=50,"Adult",A1181&gt;50,"Senior")</f>
        <v>Adult</v>
      </c>
    </row>
    <row r="1182" spans="1:13" x14ac:dyDescent="0.3">
      <c r="A1182">
        <v>42</v>
      </c>
      <c r="B1182" t="s">
        <v>11</v>
      </c>
      <c r="C1182">
        <v>41.325000000000003</v>
      </c>
      <c r="D1182">
        <v>1</v>
      </c>
      <c r="E1182" t="s">
        <v>19</v>
      </c>
      <c r="F1182" t="s">
        <v>9</v>
      </c>
      <c r="G1182">
        <v>7650.7737500000003</v>
      </c>
      <c r="H1182">
        <v>112.4</v>
      </c>
      <c r="I1182" t="s">
        <v>0</v>
      </c>
      <c r="J1182" t="b">
        <v>0</v>
      </c>
      <c r="K1182" t="s">
        <v>15</v>
      </c>
      <c r="L1182">
        <v>192020.82</v>
      </c>
      <c r="M1182" t="str" cm="1">
        <f t="array" ref="M1182">_xlfn.IFS(A1182&lt;30,"Young",A1182&lt;=50,"Adult",A1182&gt;50,"Senior")</f>
        <v>Adult</v>
      </c>
    </row>
    <row r="1183" spans="1:13" x14ac:dyDescent="0.3">
      <c r="A1183">
        <v>24</v>
      </c>
      <c r="B1183" t="s">
        <v>11</v>
      </c>
      <c r="C1183">
        <v>29.925000000000001</v>
      </c>
      <c r="D1183">
        <v>0</v>
      </c>
      <c r="E1183" t="s">
        <v>19</v>
      </c>
      <c r="F1183" t="s">
        <v>8</v>
      </c>
      <c r="G1183">
        <v>2850.6837500000001</v>
      </c>
      <c r="H1183">
        <v>129.4</v>
      </c>
      <c r="I1183" t="s">
        <v>0</v>
      </c>
      <c r="J1183" t="b">
        <v>0</v>
      </c>
      <c r="K1183" t="s">
        <v>15</v>
      </c>
      <c r="L1183">
        <v>42906.57</v>
      </c>
      <c r="M1183" t="str" cm="1">
        <f t="array" ref="M1183">_xlfn.IFS(A1183&lt;30,"Young",A1183&lt;=50,"Adult",A1183&gt;50,"Senior")</f>
        <v>Young</v>
      </c>
    </row>
    <row r="1184" spans="1:13" x14ac:dyDescent="0.3">
      <c r="A1184">
        <v>25</v>
      </c>
      <c r="B1184" t="s">
        <v>11</v>
      </c>
      <c r="C1184">
        <v>30.3</v>
      </c>
      <c r="D1184">
        <v>0</v>
      </c>
      <c r="E1184" t="s">
        <v>19</v>
      </c>
      <c r="F1184" t="s">
        <v>6</v>
      </c>
      <c r="G1184">
        <v>2632.9920000000002</v>
      </c>
      <c r="H1184">
        <v>113.5</v>
      </c>
      <c r="I1184" t="s">
        <v>1</v>
      </c>
      <c r="J1184" t="b">
        <v>1</v>
      </c>
      <c r="K1184" t="s">
        <v>14</v>
      </c>
      <c r="L1184">
        <v>110807.88</v>
      </c>
      <c r="M1184" t="str" cm="1">
        <f t="array" ref="M1184">_xlfn.IFS(A1184&lt;30,"Young",A1184&lt;=50,"Adult",A1184&gt;50,"Senior")</f>
        <v>Young</v>
      </c>
    </row>
    <row r="1185" spans="1:13" x14ac:dyDescent="0.3">
      <c r="A1185">
        <v>48</v>
      </c>
      <c r="B1185" t="s">
        <v>11</v>
      </c>
      <c r="C1185">
        <v>27.36</v>
      </c>
      <c r="D1185">
        <v>1</v>
      </c>
      <c r="E1185" t="s">
        <v>19</v>
      </c>
      <c r="F1185" t="s">
        <v>9</v>
      </c>
      <c r="G1185">
        <v>9447.3824000000004</v>
      </c>
      <c r="H1185">
        <v>137.4</v>
      </c>
      <c r="I1185" t="s">
        <v>1</v>
      </c>
      <c r="J1185" t="b">
        <v>1</v>
      </c>
      <c r="K1185" t="s">
        <v>14</v>
      </c>
      <c r="L1185">
        <v>108719.43</v>
      </c>
      <c r="M1185" t="str" cm="1">
        <f t="array" ref="M1185">_xlfn.IFS(A1185&lt;30,"Young",A1185&lt;=50,"Adult",A1185&gt;50,"Senior")</f>
        <v>Adult</v>
      </c>
    </row>
    <row r="1186" spans="1:13" x14ac:dyDescent="0.3">
      <c r="A1186">
        <v>23</v>
      </c>
      <c r="B1186" t="s">
        <v>11</v>
      </c>
      <c r="C1186">
        <v>28.49</v>
      </c>
      <c r="D1186">
        <v>1</v>
      </c>
      <c r="E1186" t="s">
        <v>18</v>
      </c>
      <c r="F1186" t="s">
        <v>7</v>
      </c>
      <c r="G1186">
        <v>18328.238099999999</v>
      </c>
      <c r="H1186">
        <v>132.1</v>
      </c>
      <c r="I1186" t="s">
        <v>3</v>
      </c>
      <c r="J1186" t="b">
        <v>1</v>
      </c>
      <c r="K1186" t="s">
        <v>14</v>
      </c>
      <c r="L1186">
        <v>82824.259999999995</v>
      </c>
      <c r="M1186" t="str" cm="1">
        <f t="array" ref="M1186">_xlfn.IFS(A1186&lt;30,"Young",A1186&lt;=50,"Adult",A1186&gt;50,"Senior")</f>
        <v>Young</v>
      </c>
    </row>
    <row r="1187" spans="1:13" x14ac:dyDescent="0.3">
      <c r="A1187">
        <v>45</v>
      </c>
      <c r="B1187" t="s">
        <v>12</v>
      </c>
      <c r="C1187">
        <v>23.56</v>
      </c>
      <c r="D1187">
        <v>2</v>
      </c>
      <c r="E1187" t="s">
        <v>19</v>
      </c>
      <c r="F1187" t="s">
        <v>9</v>
      </c>
      <c r="G1187">
        <v>8603.8233999999993</v>
      </c>
      <c r="H1187">
        <v>129.30000000000001</v>
      </c>
      <c r="I1187" t="s">
        <v>1</v>
      </c>
      <c r="J1187" t="b">
        <v>1</v>
      </c>
      <c r="K1187" t="s">
        <v>15</v>
      </c>
      <c r="L1187">
        <v>199015.76</v>
      </c>
      <c r="M1187" t="str" cm="1">
        <f t="array" ref="M1187">_xlfn.IFS(A1187&lt;30,"Young",A1187&lt;=50,"Adult",A1187&gt;50,"Senior")</f>
        <v>Adult</v>
      </c>
    </row>
    <row r="1188" spans="1:13" x14ac:dyDescent="0.3">
      <c r="A1188">
        <v>20</v>
      </c>
      <c r="B1188" t="s">
        <v>12</v>
      </c>
      <c r="C1188">
        <v>35.625</v>
      </c>
      <c r="D1188">
        <v>3</v>
      </c>
      <c r="E1188" t="s">
        <v>18</v>
      </c>
      <c r="F1188" t="s">
        <v>8</v>
      </c>
      <c r="G1188">
        <v>37465.34375</v>
      </c>
      <c r="H1188">
        <v>121.3</v>
      </c>
      <c r="I1188" t="s">
        <v>2</v>
      </c>
      <c r="J1188" t="b">
        <v>0</v>
      </c>
      <c r="K1188" t="s">
        <v>16</v>
      </c>
      <c r="L1188">
        <v>90474.85</v>
      </c>
      <c r="M1188" t="str" cm="1">
        <f t="array" ref="M1188">_xlfn.IFS(A1188&lt;30,"Young",A1188&lt;=50,"Adult",A1188&gt;50,"Senior")</f>
        <v>Young</v>
      </c>
    </row>
    <row r="1189" spans="1:13" x14ac:dyDescent="0.3">
      <c r="A1189">
        <v>62</v>
      </c>
      <c r="B1189" t="s">
        <v>11</v>
      </c>
      <c r="C1189">
        <v>32.68</v>
      </c>
      <c r="D1189">
        <v>0</v>
      </c>
      <c r="E1189" t="s">
        <v>19</v>
      </c>
      <c r="F1189" t="s">
        <v>8</v>
      </c>
      <c r="G1189">
        <v>13844.797200000001</v>
      </c>
      <c r="H1189">
        <v>126.7</v>
      </c>
      <c r="I1189" t="s">
        <v>0</v>
      </c>
      <c r="J1189" t="b">
        <v>0</v>
      </c>
      <c r="K1189" t="s">
        <v>16</v>
      </c>
      <c r="L1189">
        <v>66356.34</v>
      </c>
      <c r="M1189" t="str" cm="1">
        <f t="array" ref="M1189">_xlfn.IFS(A1189&lt;30,"Young",A1189&lt;=50,"Adult",A1189&gt;50,"Senior")</f>
        <v>Senior</v>
      </c>
    </row>
    <row r="1190" spans="1:13" x14ac:dyDescent="0.3">
      <c r="A1190">
        <v>43</v>
      </c>
      <c r="B1190" t="s">
        <v>11</v>
      </c>
      <c r="C1190">
        <v>25.27</v>
      </c>
      <c r="D1190">
        <v>1</v>
      </c>
      <c r="E1190" t="s">
        <v>18</v>
      </c>
      <c r="F1190" t="s">
        <v>9</v>
      </c>
      <c r="G1190">
        <v>21771.3423</v>
      </c>
      <c r="H1190">
        <v>116.3</v>
      </c>
      <c r="I1190" t="s">
        <v>0</v>
      </c>
      <c r="J1190" t="b">
        <v>0</v>
      </c>
      <c r="K1190" t="s">
        <v>16</v>
      </c>
      <c r="L1190">
        <v>160733.92000000001</v>
      </c>
      <c r="M1190" t="str" cm="1">
        <f t="array" ref="M1190">_xlfn.IFS(A1190&lt;30,"Young",A1190&lt;=50,"Adult",A1190&gt;50,"Senior")</f>
        <v>Adult</v>
      </c>
    </row>
    <row r="1191" spans="1:13" x14ac:dyDescent="0.3">
      <c r="A1191">
        <v>23</v>
      </c>
      <c r="B1191" t="s">
        <v>11</v>
      </c>
      <c r="C1191">
        <v>28</v>
      </c>
      <c r="D1191">
        <v>0</v>
      </c>
      <c r="E1191" t="s">
        <v>19</v>
      </c>
      <c r="F1191" t="s">
        <v>6</v>
      </c>
      <c r="G1191">
        <v>13126.677449999999</v>
      </c>
      <c r="H1191">
        <v>137.5</v>
      </c>
      <c r="I1191" t="s">
        <v>3</v>
      </c>
      <c r="J1191" t="b">
        <v>0</v>
      </c>
      <c r="K1191" t="s">
        <v>14</v>
      </c>
      <c r="L1191">
        <v>104669.59</v>
      </c>
      <c r="M1191" t="str" cm="1">
        <f t="array" ref="M1191">_xlfn.IFS(A1191&lt;30,"Young",A1191&lt;=50,"Adult",A1191&gt;50,"Senior")</f>
        <v>Young</v>
      </c>
    </row>
    <row r="1192" spans="1:13" x14ac:dyDescent="0.3">
      <c r="A1192">
        <v>31</v>
      </c>
      <c r="B1192" t="s">
        <v>11</v>
      </c>
      <c r="C1192">
        <v>32.774999999999999</v>
      </c>
      <c r="D1192">
        <v>2</v>
      </c>
      <c r="E1192" t="s">
        <v>19</v>
      </c>
      <c r="F1192" t="s">
        <v>8</v>
      </c>
      <c r="G1192">
        <v>5327.4002499999997</v>
      </c>
      <c r="H1192">
        <v>123.6</v>
      </c>
      <c r="I1192" t="s">
        <v>2</v>
      </c>
      <c r="J1192" t="b">
        <v>1</v>
      </c>
      <c r="K1192" t="s">
        <v>16</v>
      </c>
      <c r="L1192">
        <v>81810.25</v>
      </c>
      <c r="M1192" t="str" cm="1">
        <f t="array" ref="M1192">_xlfn.IFS(A1192&lt;30,"Young",A1192&lt;=50,"Adult",A1192&gt;50,"Senior")</f>
        <v>Adult</v>
      </c>
    </row>
    <row r="1193" spans="1:13" x14ac:dyDescent="0.3">
      <c r="A1193">
        <v>41</v>
      </c>
      <c r="B1193" t="s">
        <v>11</v>
      </c>
      <c r="C1193">
        <v>21.754999999999999</v>
      </c>
      <c r="D1193">
        <v>1</v>
      </c>
      <c r="E1193" t="s">
        <v>19</v>
      </c>
      <c r="F1193" t="s">
        <v>9</v>
      </c>
      <c r="G1193">
        <v>13725.47184</v>
      </c>
      <c r="H1193">
        <v>110.2</v>
      </c>
      <c r="I1193" t="s">
        <v>3</v>
      </c>
      <c r="J1193" t="b">
        <v>0</v>
      </c>
      <c r="K1193" t="s">
        <v>15</v>
      </c>
      <c r="L1193">
        <v>178712.7</v>
      </c>
      <c r="M1193" t="str" cm="1">
        <f t="array" ref="M1193">_xlfn.IFS(A1193&lt;30,"Young",A1193&lt;=50,"Adult",A1193&gt;50,"Senior")</f>
        <v>Adult</v>
      </c>
    </row>
    <row r="1194" spans="1:13" x14ac:dyDescent="0.3">
      <c r="A1194">
        <v>58</v>
      </c>
      <c r="B1194" t="s">
        <v>11</v>
      </c>
      <c r="C1194">
        <v>32.395000000000003</v>
      </c>
      <c r="D1194">
        <v>1</v>
      </c>
      <c r="E1194" t="s">
        <v>19</v>
      </c>
      <c r="F1194" t="s">
        <v>9</v>
      </c>
      <c r="G1194">
        <v>13019.161050000001</v>
      </c>
      <c r="H1194">
        <v>123.4</v>
      </c>
      <c r="I1194" t="s">
        <v>3</v>
      </c>
      <c r="J1194" t="b">
        <v>1</v>
      </c>
      <c r="K1194" t="s">
        <v>16</v>
      </c>
      <c r="L1194">
        <v>51661.65</v>
      </c>
      <c r="M1194" t="str" cm="1">
        <f t="array" ref="M1194">_xlfn.IFS(A1194&lt;30,"Young",A1194&lt;=50,"Adult",A1194&gt;50,"Senior")</f>
        <v>Senior</v>
      </c>
    </row>
    <row r="1195" spans="1:13" x14ac:dyDescent="0.3">
      <c r="A1195">
        <v>48</v>
      </c>
      <c r="B1195" t="s">
        <v>11</v>
      </c>
      <c r="C1195">
        <v>36.575000000000003</v>
      </c>
      <c r="D1195">
        <v>0</v>
      </c>
      <c r="E1195" t="s">
        <v>19</v>
      </c>
      <c r="F1195" t="s">
        <v>8</v>
      </c>
      <c r="G1195">
        <v>8671.1912499999999</v>
      </c>
      <c r="H1195">
        <v>128.69999999999999</v>
      </c>
      <c r="I1195" t="s">
        <v>1</v>
      </c>
      <c r="J1195" t="b">
        <v>1</v>
      </c>
      <c r="K1195" t="s">
        <v>14</v>
      </c>
      <c r="L1195">
        <v>192934.77</v>
      </c>
      <c r="M1195" t="str" cm="1">
        <f t="array" ref="M1195">_xlfn.IFS(A1195&lt;30,"Young",A1195&lt;=50,"Adult",A1195&gt;50,"Senior")</f>
        <v>Adult</v>
      </c>
    </row>
    <row r="1196" spans="1:13" x14ac:dyDescent="0.3">
      <c r="A1196">
        <v>31</v>
      </c>
      <c r="B1196" t="s">
        <v>11</v>
      </c>
      <c r="C1196">
        <v>21.754999999999999</v>
      </c>
      <c r="D1196">
        <v>0</v>
      </c>
      <c r="E1196" t="s">
        <v>19</v>
      </c>
      <c r="F1196" t="s">
        <v>8</v>
      </c>
      <c r="G1196">
        <v>4134.0824499999999</v>
      </c>
      <c r="H1196">
        <v>128.1</v>
      </c>
      <c r="I1196" t="s">
        <v>3</v>
      </c>
      <c r="J1196" t="b">
        <v>0</v>
      </c>
      <c r="K1196" t="s">
        <v>16</v>
      </c>
      <c r="L1196">
        <v>196455.47</v>
      </c>
      <c r="M1196" t="str" cm="1">
        <f t="array" ref="M1196">_xlfn.IFS(A1196&lt;30,"Young",A1196&lt;=50,"Adult",A1196&gt;50,"Senior")</f>
        <v>Adult</v>
      </c>
    </row>
    <row r="1197" spans="1:13" x14ac:dyDescent="0.3">
      <c r="A1197">
        <v>19</v>
      </c>
      <c r="B1197" t="s">
        <v>11</v>
      </c>
      <c r="C1197">
        <v>27.93</v>
      </c>
      <c r="D1197">
        <v>3</v>
      </c>
      <c r="E1197" t="s">
        <v>19</v>
      </c>
      <c r="F1197" t="s">
        <v>8</v>
      </c>
      <c r="G1197">
        <v>18838.703659999999</v>
      </c>
      <c r="H1197">
        <v>127.7</v>
      </c>
      <c r="I1197" t="s">
        <v>3</v>
      </c>
      <c r="J1197" t="b">
        <v>1</v>
      </c>
      <c r="K1197" t="s">
        <v>15</v>
      </c>
      <c r="L1197">
        <v>137848.29</v>
      </c>
      <c r="M1197" t="str" cm="1">
        <f t="array" ref="M1197">_xlfn.IFS(A1197&lt;30,"Young",A1197&lt;=50,"Adult",A1197&gt;50,"Senior")</f>
        <v>Young</v>
      </c>
    </row>
    <row r="1198" spans="1:13" x14ac:dyDescent="0.3">
      <c r="A1198">
        <v>19</v>
      </c>
      <c r="B1198" t="s">
        <v>11</v>
      </c>
      <c r="C1198">
        <v>30.02</v>
      </c>
      <c r="D1198">
        <v>0</v>
      </c>
      <c r="E1198" t="s">
        <v>18</v>
      </c>
      <c r="F1198" t="s">
        <v>8</v>
      </c>
      <c r="G1198">
        <v>33307.550799999997</v>
      </c>
      <c r="H1198">
        <v>131.30000000000001</v>
      </c>
      <c r="I1198" t="s">
        <v>2</v>
      </c>
      <c r="J1198" t="b">
        <v>0</v>
      </c>
      <c r="K1198" t="s">
        <v>15</v>
      </c>
      <c r="L1198">
        <v>62916.88</v>
      </c>
      <c r="M1198" t="str" cm="1">
        <f t="array" ref="M1198">_xlfn.IFS(A1198&lt;30,"Young",A1198&lt;=50,"Adult",A1198&gt;50,"Senior")</f>
        <v>Young</v>
      </c>
    </row>
    <row r="1199" spans="1:13" x14ac:dyDescent="0.3">
      <c r="A1199">
        <v>41</v>
      </c>
      <c r="B1199" t="s">
        <v>12</v>
      </c>
      <c r="C1199">
        <v>33.549999999999997</v>
      </c>
      <c r="D1199">
        <v>0</v>
      </c>
      <c r="E1199" t="s">
        <v>19</v>
      </c>
      <c r="F1199" t="s">
        <v>7</v>
      </c>
      <c r="G1199">
        <v>5699.8374999999996</v>
      </c>
      <c r="H1199">
        <v>133.19999999999999</v>
      </c>
      <c r="I1199" t="s">
        <v>1</v>
      </c>
      <c r="J1199" t="b">
        <v>0</v>
      </c>
      <c r="K1199" t="s">
        <v>16</v>
      </c>
      <c r="L1199">
        <v>114372.24</v>
      </c>
      <c r="M1199" t="str" cm="1">
        <f t="array" ref="M1199">_xlfn.IFS(A1199&lt;30,"Young",A1199&lt;=50,"Adult",A1199&gt;50,"Senior")</f>
        <v>Adult</v>
      </c>
    </row>
    <row r="1200" spans="1:13" x14ac:dyDescent="0.3">
      <c r="A1200">
        <v>40</v>
      </c>
      <c r="B1200" t="s">
        <v>12</v>
      </c>
      <c r="C1200">
        <v>29.355</v>
      </c>
      <c r="D1200">
        <v>1</v>
      </c>
      <c r="E1200" t="s">
        <v>19</v>
      </c>
      <c r="F1200" t="s">
        <v>8</v>
      </c>
      <c r="G1200">
        <v>6393.6034499999996</v>
      </c>
      <c r="H1200">
        <v>137.5</v>
      </c>
      <c r="I1200" t="s">
        <v>2</v>
      </c>
      <c r="J1200" t="b">
        <v>1</v>
      </c>
      <c r="K1200" t="s">
        <v>14</v>
      </c>
      <c r="L1200">
        <v>89818.01</v>
      </c>
      <c r="M1200" t="str" cm="1">
        <f t="array" ref="M1200">_xlfn.IFS(A1200&lt;30,"Young",A1200&lt;=50,"Adult",A1200&gt;50,"Senior")</f>
        <v>Adult</v>
      </c>
    </row>
    <row r="1201" spans="1:13" x14ac:dyDescent="0.3">
      <c r="A1201">
        <v>31</v>
      </c>
      <c r="B1201" t="s">
        <v>11</v>
      </c>
      <c r="C1201">
        <v>25.8</v>
      </c>
      <c r="D1201">
        <v>2</v>
      </c>
      <c r="E1201" t="s">
        <v>19</v>
      </c>
      <c r="F1201" t="s">
        <v>6</v>
      </c>
      <c r="G1201">
        <v>4934.7049999999999</v>
      </c>
      <c r="H1201">
        <v>135</v>
      </c>
      <c r="I1201" t="s">
        <v>1</v>
      </c>
      <c r="J1201" t="b">
        <v>0</v>
      </c>
      <c r="K1201" t="s">
        <v>15</v>
      </c>
      <c r="L1201">
        <v>90789.14</v>
      </c>
      <c r="M1201" t="str" cm="1">
        <f t="array" ref="M1201">_xlfn.IFS(A1201&lt;30,"Young",A1201&lt;=50,"Adult",A1201&gt;50,"Senior")</f>
        <v>Adult</v>
      </c>
    </row>
    <row r="1202" spans="1:13" x14ac:dyDescent="0.3">
      <c r="A1202">
        <v>37</v>
      </c>
      <c r="B1202" t="s">
        <v>12</v>
      </c>
      <c r="C1202">
        <v>24.32</v>
      </c>
      <c r="D1202">
        <v>2</v>
      </c>
      <c r="E1202" t="s">
        <v>19</v>
      </c>
      <c r="F1202" t="s">
        <v>8</v>
      </c>
      <c r="G1202">
        <v>6198.7518</v>
      </c>
      <c r="H1202">
        <v>131.9</v>
      </c>
      <c r="I1202" t="s">
        <v>3</v>
      </c>
      <c r="J1202" t="b">
        <v>1</v>
      </c>
      <c r="K1202" t="s">
        <v>16</v>
      </c>
      <c r="L1202">
        <v>135990.49</v>
      </c>
      <c r="M1202" t="str" cm="1">
        <f t="array" ref="M1202">_xlfn.IFS(A1202&lt;30,"Young",A1202&lt;=50,"Adult",A1202&gt;50,"Senior")</f>
        <v>Adult</v>
      </c>
    </row>
    <row r="1203" spans="1:13" x14ac:dyDescent="0.3">
      <c r="A1203">
        <v>46</v>
      </c>
      <c r="B1203" t="s">
        <v>12</v>
      </c>
      <c r="C1203">
        <v>40.375</v>
      </c>
      <c r="D1203">
        <v>2</v>
      </c>
      <c r="E1203" t="s">
        <v>19</v>
      </c>
      <c r="F1203" t="s">
        <v>8</v>
      </c>
      <c r="G1203">
        <v>8733.2292500000003</v>
      </c>
      <c r="H1203">
        <v>111.8</v>
      </c>
      <c r="I1203" t="s">
        <v>0</v>
      </c>
      <c r="J1203" t="b">
        <v>0</v>
      </c>
      <c r="K1203" t="s">
        <v>14</v>
      </c>
      <c r="L1203">
        <v>134977.03</v>
      </c>
      <c r="M1203" t="str" cm="1">
        <f t="array" ref="M1203">_xlfn.IFS(A1203&lt;30,"Young",A1203&lt;=50,"Adult",A1203&gt;50,"Senior")</f>
        <v>Adult</v>
      </c>
    </row>
    <row r="1204" spans="1:13" x14ac:dyDescent="0.3">
      <c r="A1204">
        <v>22</v>
      </c>
      <c r="B1204" t="s">
        <v>12</v>
      </c>
      <c r="C1204">
        <v>32.11</v>
      </c>
      <c r="D1204">
        <v>0</v>
      </c>
      <c r="E1204" t="s">
        <v>19</v>
      </c>
      <c r="F1204" t="s">
        <v>8</v>
      </c>
      <c r="G1204">
        <v>2055.3249000000001</v>
      </c>
      <c r="H1204">
        <v>129.6</v>
      </c>
      <c r="I1204" t="s">
        <v>0</v>
      </c>
      <c r="J1204" t="b">
        <v>1</v>
      </c>
      <c r="K1204" t="s">
        <v>14</v>
      </c>
      <c r="L1204">
        <v>74699.72</v>
      </c>
      <c r="M1204" t="str" cm="1">
        <f t="array" ref="M1204">_xlfn.IFS(A1204&lt;30,"Young",A1204&lt;=50,"Adult",A1204&gt;50,"Senior")</f>
        <v>Young</v>
      </c>
    </row>
    <row r="1205" spans="1:13" x14ac:dyDescent="0.3">
      <c r="A1205">
        <v>51</v>
      </c>
      <c r="B1205" t="s">
        <v>12</v>
      </c>
      <c r="C1205">
        <v>32.299999999999997</v>
      </c>
      <c r="D1205">
        <v>1</v>
      </c>
      <c r="E1205" t="s">
        <v>19</v>
      </c>
      <c r="F1205" t="s">
        <v>9</v>
      </c>
      <c r="G1205">
        <v>9964.06</v>
      </c>
      <c r="H1205">
        <v>131.80000000000001</v>
      </c>
      <c r="I1205" t="s">
        <v>2</v>
      </c>
      <c r="J1205" t="b">
        <v>0</v>
      </c>
      <c r="K1205" t="s">
        <v>15</v>
      </c>
      <c r="L1205">
        <v>95243.43</v>
      </c>
      <c r="M1205" t="str" cm="1">
        <f t="array" ref="M1205">_xlfn.IFS(A1205&lt;30,"Young",A1205&lt;=50,"Adult",A1205&gt;50,"Senior")</f>
        <v>Senior</v>
      </c>
    </row>
    <row r="1206" spans="1:13" x14ac:dyDescent="0.3">
      <c r="A1206">
        <v>18</v>
      </c>
      <c r="B1206" t="s">
        <v>11</v>
      </c>
      <c r="C1206">
        <v>27.28</v>
      </c>
      <c r="D1206">
        <v>3</v>
      </c>
      <c r="E1206" t="s">
        <v>18</v>
      </c>
      <c r="F1206" t="s">
        <v>7</v>
      </c>
      <c r="G1206">
        <v>18223.4512</v>
      </c>
      <c r="H1206">
        <v>132.30000000000001</v>
      </c>
      <c r="I1206" t="s">
        <v>2</v>
      </c>
      <c r="J1206" t="b">
        <v>0</v>
      </c>
      <c r="K1206" t="s">
        <v>16</v>
      </c>
      <c r="L1206">
        <v>116124.07</v>
      </c>
      <c r="M1206" t="str" cm="1">
        <f t="array" ref="M1206">_xlfn.IFS(A1206&lt;30,"Young",A1206&lt;=50,"Adult",A1206&gt;50,"Senior")</f>
        <v>Young</v>
      </c>
    </row>
    <row r="1207" spans="1:13" x14ac:dyDescent="0.3">
      <c r="A1207">
        <v>35</v>
      </c>
      <c r="B1207" t="s">
        <v>12</v>
      </c>
      <c r="C1207">
        <v>17.86</v>
      </c>
      <c r="D1207">
        <v>1</v>
      </c>
      <c r="E1207" t="s">
        <v>19</v>
      </c>
      <c r="F1207" t="s">
        <v>8</v>
      </c>
      <c r="G1207">
        <v>5116.5003999999999</v>
      </c>
      <c r="H1207">
        <v>121.9</v>
      </c>
      <c r="I1207" t="s">
        <v>2</v>
      </c>
      <c r="J1207" t="b">
        <v>1</v>
      </c>
      <c r="K1207" t="s">
        <v>15</v>
      </c>
      <c r="L1207">
        <v>47038.07</v>
      </c>
      <c r="M1207" t="str" cm="1">
        <f t="array" ref="M1207">_xlfn.IFS(A1207&lt;30,"Young",A1207&lt;=50,"Adult",A1207&gt;50,"Senior")</f>
        <v>Adult</v>
      </c>
    </row>
    <row r="1208" spans="1:13" x14ac:dyDescent="0.3">
      <c r="A1208">
        <v>59</v>
      </c>
      <c r="B1208" t="s">
        <v>11</v>
      </c>
      <c r="C1208">
        <v>34.799999999999997</v>
      </c>
      <c r="D1208">
        <v>2</v>
      </c>
      <c r="E1208" t="s">
        <v>19</v>
      </c>
      <c r="F1208" t="s">
        <v>6</v>
      </c>
      <c r="G1208">
        <v>36910.608030000003</v>
      </c>
      <c r="H1208">
        <v>125.9</v>
      </c>
      <c r="I1208" t="s">
        <v>2</v>
      </c>
      <c r="J1208" t="b">
        <v>0</v>
      </c>
      <c r="K1208" t="s">
        <v>16</v>
      </c>
      <c r="L1208">
        <v>39902.69</v>
      </c>
      <c r="M1208" t="str" cm="1">
        <f t="array" ref="M1208">_xlfn.IFS(A1208&lt;30,"Young",A1208&lt;=50,"Adult",A1208&gt;50,"Senior")</f>
        <v>Senior</v>
      </c>
    </row>
    <row r="1209" spans="1:13" x14ac:dyDescent="0.3">
      <c r="A1209">
        <v>36</v>
      </c>
      <c r="B1209" t="s">
        <v>12</v>
      </c>
      <c r="C1209">
        <v>33.4</v>
      </c>
      <c r="D1209">
        <v>2</v>
      </c>
      <c r="E1209" t="s">
        <v>18</v>
      </c>
      <c r="F1209" t="s">
        <v>6</v>
      </c>
      <c r="G1209">
        <v>38415.474000000002</v>
      </c>
      <c r="H1209">
        <v>127.3</v>
      </c>
      <c r="I1209" t="s">
        <v>2</v>
      </c>
      <c r="J1209" t="b">
        <v>0</v>
      </c>
      <c r="K1209" t="s">
        <v>14</v>
      </c>
      <c r="L1209">
        <v>80121.179999999993</v>
      </c>
      <c r="M1209" t="str" cm="1">
        <f t="array" ref="M1209">_xlfn.IFS(A1209&lt;30,"Young",A1209&lt;=50,"Adult",A1209&gt;50,"Senior")</f>
        <v>Adult</v>
      </c>
    </row>
    <row r="1210" spans="1:13" x14ac:dyDescent="0.3">
      <c r="A1210">
        <v>37</v>
      </c>
      <c r="B1210" t="s">
        <v>11</v>
      </c>
      <c r="C1210">
        <v>25.555</v>
      </c>
      <c r="D1210">
        <v>1</v>
      </c>
      <c r="E1210" t="s">
        <v>18</v>
      </c>
      <c r="F1210" t="s">
        <v>9</v>
      </c>
      <c r="G1210">
        <v>20296.863450000001</v>
      </c>
      <c r="H1210">
        <v>117.7</v>
      </c>
      <c r="I1210" t="s">
        <v>2</v>
      </c>
      <c r="J1210" t="b">
        <v>1</v>
      </c>
      <c r="K1210" t="s">
        <v>14</v>
      </c>
      <c r="L1210">
        <v>106173.95</v>
      </c>
      <c r="M1210" t="str" cm="1">
        <f t="array" ref="M1210">_xlfn.IFS(A1210&lt;30,"Young",A1210&lt;=50,"Adult",A1210&gt;50,"Senior")</f>
        <v>Adult</v>
      </c>
    </row>
    <row r="1211" spans="1:13" x14ac:dyDescent="0.3">
      <c r="A1211">
        <v>59</v>
      </c>
      <c r="B1211" t="s">
        <v>12</v>
      </c>
      <c r="C1211">
        <v>37.1</v>
      </c>
      <c r="D1211">
        <v>1</v>
      </c>
      <c r="E1211" t="s">
        <v>19</v>
      </c>
      <c r="F1211" t="s">
        <v>6</v>
      </c>
      <c r="G1211">
        <v>12347.172</v>
      </c>
      <c r="H1211">
        <v>119.7</v>
      </c>
      <c r="I1211" t="s">
        <v>0</v>
      </c>
      <c r="J1211" t="b">
        <v>0</v>
      </c>
      <c r="K1211" t="s">
        <v>14</v>
      </c>
      <c r="L1211">
        <v>161058.19</v>
      </c>
      <c r="M1211" t="str" cm="1">
        <f t="array" ref="M1211">_xlfn.IFS(A1211&lt;30,"Young",A1211&lt;=50,"Adult",A1211&gt;50,"Senior")</f>
        <v>Senior</v>
      </c>
    </row>
    <row r="1212" spans="1:13" x14ac:dyDescent="0.3">
      <c r="A1212">
        <v>36</v>
      </c>
      <c r="B1212" t="s">
        <v>12</v>
      </c>
      <c r="C1212">
        <v>30.875</v>
      </c>
      <c r="D1212">
        <v>1</v>
      </c>
      <c r="E1212" t="s">
        <v>19</v>
      </c>
      <c r="F1212" t="s">
        <v>8</v>
      </c>
      <c r="G1212">
        <v>5373.3642499999996</v>
      </c>
      <c r="H1212">
        <v>118.1</v>
      </c>
      <c r="I1212" t="s">
        <v>0</v>
      </c>
      <c r="J1212" t="b">
        <v>0</v>
      </c>
      <c r="K1212" t="s">
        <v>16</v>
      </c>
      <c r="L1212">
        <v>198999.45</v>
      </c>
      <c r="M1212" t="str" cm="1">
        <f t="array" ref="M1212">_xlfn.IFS(A1212&lt;30,"Young",A1212&lt;=50,"Adult",A1212&gt;50,"Senior")</f>
        <v>Adult</v>
      </c>
    </row>
    <row r="1213" spans="1:13" x14ac:dyDescent="0.3">
      <c r="A1213">
        <v>39</v>
      </c>
      <c r="B1213" t="s">
        <v>12</v>
      </c>
      <c r="C1213">
        <v>34.1</v>
      </c>
      <c r="D1213">
        <v>2</v>
      </c>
      <c r="E1213" t="s">
        <v>19</v>
      </c>
      <c r="F1213" t="s">
        <v>7</v>
      </c>
      <c r="G1213">
        <v>23563.016179999999</v>
      </c>
      <c r="H1213">
        <v>123.2</v>
      </c>
      <c r="I1213" t="s">
        <v>2</v>
      </c>
      <c r="J1213" t="b">
        <v>0</v>
      </c>
      <c r="K1213" t="s">
        <v>14</v>
      </c>
      <c r="L1213">
        <v>52494.6</v>
      </c>
      <c r="M1213" t="str" cm="1">
        <f t="array" ref="M1213">_xlfn.IFS(A1213&lt;30,"Young",A1213&lt;=50,"Adult",A1213&gt;50,"Senior")</f>
        <v>Adult</v>
      </c>
    </row>
    <row r="1214" spans="1:13" x14ac:dyDescent="0.3">
      <c r="A1214">
        <v>18</v>
      </c>
      <c r="B1214" t="s">
        <v>12</v>
      </c>
      <c r="C1214">
        <v>21.47</v>
      </c>
      <c r="D1214">
        <v>0</v>
      </c>
      <c r="E1214" t="s">
        <v>19</v>
      </c>
      <c r="F1214" t="s">
        <v>9</v>
      </c>
      <c r="G1214">
        <v>1702.4553000000001</v>
      </c>
      <c r="H1214">
        <v>126.4</v>
      </c>
      <c r="I1214" t="s">
        <v>2</v>
      </c>
      <c r="J1214" t="b">
        <v>0</v>
      </c>
      <c r="K1214" t="s">
        <v>16</v>
      </c>
      <c r="L1214">
        <v>34884.18</v>
      </c>
      <c r="M1214" t="str" cm="1">
        <f t="array" ref="M1214">_xlfn.IFS(A1214&lt;30,"Young",A1214&lt;=50,"Adult",A1214&gt;50,"Senior")</f>
        <v>Young</v>
      </c>
    </row>
    <row r="1215" spans="1:13" x14ac:dyDescent="0.3">
      <c r="A1215">
        <v>52</v>
      </c>
      <c r="B1215" t="s">
        <v>11</v>
      </c>
      <c r="C1215">
        <v>33.299999999999997</v>
      </c>
      <c r="D1215">
        <v>2</v>
      </c>
      <c r="E1215" t="s">
        <v>19</v>
      </c>
      <c r="F1215" t="s">
        <v>6</v>
      </c>
      <c r="G1215">
        <v>10806.839</v>
      </c>
      <c r="H1215">
        <v>118.6</v>
      </c>
      <c r="I1215" t="s">
        <v>2</v>
      </c>
      <c r="J1215" t="b">
        <v>0</v>
      </c>
      <c r="K1215" t="s">
        <v>14</v>
      </c>
      <c r="L1215">
        <v>87721.66</v>
      </c>
      <c r="M1215" t="str" cm="1">
        <f t="array" ref="M1215">_xlfn.IFS(A1215&lt;30,"Young",A1215&lt;=50,"Adult",A1215&gt;50,"Senior")</f>
        <v>Senior</v>
      </c>
    </row>
    <row r="1216" spans="1:13" x14ac:dyDescent="0.3">
      <c r="A1216">
        <v>27</v>
      </c>
      <c r="B1216" t="s">
        <v>11</v>
      </c>
      <c r="C1216">
        <v>31.254999999999999</v>
      </c>
      <c r="D1216">
        <v>1</v>
      </c>
      <c r="E1216" t="s">
        <v>19</v>
      </c>
      <c r="F1216" t="s">
        <v>8</v>
      </c>
      <c r="G1216">
        <v>3956.0714499999999</v>
      </c>
      <c r="H1216">
        <v>116.8</v>
      </c>
      <c r="I1216" t="s">
        <v>0</v>
      </c>
      <c r="J1216" t="b">
        <v>1</v>
      </c>
      <c r="K1216" t="s">
        <v>16</v>
      </c>
      <c r="L1216">
        <v>164220.71</v>
      </c>
      <c r="M1216" t="str" cm="1">
        <f t="array" ref="M1216">_xlfn.IFS(A1216&lt;30,"Young",A1216&lt;=50,"Adult",A1216&gt;50,"Senior")</f>
        <v>Young</v>
      </c>
    </row>
    <row r="1217" spans="1:13" x14ac:dyDescent="0.3">
      <c r="A1217">
        <v>18</v>
      </c>
      <c r="B1217" t="s">
        <v>12</v>
      </c>
      <c r="C1217">
        <v>39.14</v>
      </c>
      <c r="D1217">
        <v>0</v>
      </c>
      <c r="E1217" t="s">
        <v>19</v>
      </c>
      <c r="F1217" t="s">
        <v>9</v>
      </c>
      <c r="G1217">
        <v>12890.057650000001</v>
      </c>
      <c r="H1217">
        <v>119.1</v>
      </c>
      <c r="I1217" t="s">
        <v>2</v>
      </c>
      <c r="J1217" t="b">
        <v>0</v>
      </c>
      <c r="K1217" t="s">
        <v>14</v>
      </c>
      <c r="L1217">
        <v>81377.240000000005</v>
      </c>
      <c r="M1217" t="str" cm="1">
        <f t="array" ref="M1217">_xlfn.IFS(A1217&lt;30,"Young",A1217&lt;=50,"Adult",A1217&gt;50,"Senior")</f>
        <v>Young</v>
      </c>
    </row>
    <row r="1218" spans="1:13" x14ac:dyDescent="0.3">
      <c r="A1218">
        <v>40</v>
      </c>
      <c r="B1218" t="s">
        <v>12</v>
      </c>
      <c r="C1218">
        <v>25.08</v>
      </c>
      <c r="D1218">
        <v>0</v>
      </c>
      <c r="E1218" t="s">
        <v>19</v>
      </c>
      <c r="F1218" t="s">
        <v>7</v>
      </c>
      <c r="G1218">
        <v>5415.6611999999996</v>
      </c>
      <c r="H1218">
        <v>113.9</v>
      </c>
      <c r="I1218" t="s">
        <v>3</v>
      </c>
      <c r="J1218" t="b">
        <v>0</v>
      </c>
      <c r="K1218" t="s">
        <v>14</v>
      </c>
      <c r="L1218">
        <v>59128.44</v>
      </c>
      <c r="M1218" t="str" cm="1">
        <f t="array" ref="M1218">_xlfn.IFS(A1218&lt;30,"Young",A1218&lt;=50,"Adult",A1218&gt;50,"Senior")</f>
        <v>Adult</v>
      </c>
    </row>
    <row r="1219" spans="1:13" x14ac:dyDescent="0.3">
      <c r="A1219">
        <v>29</v>
      </c>
      <c r="B1219" t="s">
        <v>12</v>
      </c>
      <c r="C1219">
        <v>37.29</v>
      </c>
      <c r="D1219">
        <v>2</v>
      </c>
      <c r="E1219" t="s">
        <v>19</v>
      </c>
      <c r="F1219" t="s">
        <v>7</v>
      </c>
      <c r="G1219">
        <v>4058.1161000000002</v>
      </c>
      <c r="H1219">
        <v>138</v>
      </c>
      <c r="I1219" t="s">
        <v>2</v>
      </c>
      <c r="J1219" t="b">
        <v>0</v>
      </c>
      <c r="K1219" t="s">
        <v>14</v>
      </c>
      <c r="L1219">
        <v>143187.03</v>
      </c>
      <c r="M1219" t="str" cm="1">
        <f t="array" ref="M1219">_xlfn.IFS(A1219&lt;30,"Young",A1219&lt;=50,"Adult",A1219&gt;50,"Senior")</f>
        <v>Young</v>
      </c>
    </row>
    <row r="1220" spans="1:13" x14ac:dyDescent="0.3">
      <c r="A1220">
        <v>46</v>
      </c>
      <c r="B1220" t="s">
        <v>11</v>
      </c>
      <c r="C1220">
        <v>34.6</v>
      </c>
      <c r="D1220">
        <v>1</v>
      </c>
      <c r="E1220" t="s">
        <v>18</v>
      </c>
      <c r="F1220" t="s">
        <v>6</v>
      </c>
      <c r="G1220">
        <v>41661.601999999999</v>
      </c>
      <c r="H1220">
        <v>126.6</v>
      </c>
      <c r="I1220" t="s">
        <v>1</v>
      </c>
      <c r="J1220" t="b">
        <v>1</v>
      </c>
      <c r="K1220" t="s">
        <v>16</v>
      </c>
      <c r="L1220">
        <v>157060.97</v>
      </c>
      <c r="M1220" t="str" cm="1">
        <f t="array" ref="M1220">_xlfn.IFS(A1220&lt;30,"Young",A1220&lt;=50,"Adult",A1220&gt;50,"Senior")</f>
        <v>Adult</v>
      </c>
    </row>
    <row r="1221" spans="1:13" x14ac:dyDescent="0.3">
      <c r="A1221">
        <v>38</v>
      </c>
      <c r="B1221" t="s">
        <v>11</v>
      </c>
      <c r="C1221">
        <v>30.21</v>
      </c>
      <c r="D1221">
        <v>3</v>
      </c>
      <c r="E1221" t="s">
        <v>19</v>
      </c>
      <c r="F1221" t="s">
        <v>8</v>
      </c>
      <c r="G1221">
        <v>7537.1638999999996</v>
      </c>
      <c r="H1221">
        <v>132.6</v>
      </c>
      <c r="I1221" t="s">
        <v>2</v>
      </c>
      <c r="J1221" t="b">
        <v>1</v>
      </c>
      <c r="K1221" t="s">
        <v>16</v>
      </c>
      <c r="L1221">
        <v>142878.26</v>
      </c>
      <c r="M1221" t="str" cm="1">
        <f t="array" ref="M1221">_xlfn.IFS(A1221&lt;30,"Young",A1221&lt;=50,"Adult",A1221&gt;50,"Senior")</f>
        <v>Adult</v>
      </c>
    </row>
    <row r="1222" spans="1:13" x14ac:dyDescent="0.3">
      <c r="A1222">
        <v>30</v>
      </c>
      <c r="B1222" t="s">
        <v>11</v>
      </c>
      <c r="C1222">
        <v>21.945</v>
      </c>
      <c r="D1222">
        <v>1</v>
      </c>
      <c r="E1222" t="s">
        <v>19</v>
      </c>
      <c r="F1222" t="s">
        <v>9</v>
      </c>
      <c r="G1222">
        <v>4718.2035500000002</v>
      </c>
      <c r="H1222">
        <v>132.30000000000001</v>
      </c>
      <c r="I1222" t="s">
        <v>3</v>
      </c>
      <c r="J1222" t="b">
        <v>0</v>
      </c>
      <c r="K1222" t="s">
        <v>14</v>
      </c>
      <c r="L1222">
        <v>162231</v>
      </c>
      <c r="M1222" t="str" cm="1">
        <f t="array" ref="M1222">_xlfn.IFS(A1222&lt;30,"Young",A1222&lt;=50,"Adult",A1222&gt;50,"Senior")</f>
        <v>Adult</v>
      </c>
    </row>
    <row r="1223" spans="1:13" x14ac:dyDescent="0.3">
      <c r="A1223">
        <v>40</v>
      </c>
      <c r="B1223" t="s">
        <v>12</v>
      </c>
      <c r="C1223">
        <v>24.97</v>
      </c>
      <c r="D1223">
        <v>2</v>
      </c>
      <c r="E1223" t="s">
        <v>19</v>
      </c>
      <c r="F1223" t="s">
        <v>7</v>
      </c>
      <c r="G1223">
        <v>6593.5083000000004</v>
      </c>
      <c r="H1223">
        <v>129.69999999999999</v>
      </c>
      <c r="I1223" t="s">
        <v>1</v>
      </c>
      <c r="J1223" t="b">
        <v>1</v>
      </c>
      <c r="K1223" t="s">
        <v>16</v>
      </c>
      <c r="L1223">
        <v>175125.67</v>
      </c>
      <c r="M1223" t="str" cm="1">
        <f t="array" ref="M1223">_xlfn.IFS(A1223&lt;30,"Young",A1223&lt;=50,"Adult",A1223&gt;50,"Senior")</f>
        <v>Adult</v>
      </c>
    </row>
    <row r="1224" spans="1:13" x14ac:dyDescent="0.3">
      <c r="A1224">
        <v>50</v>
      </c>
      <c r="B1224" t="s">
        <v>12</v>
      </c>
      <c r="C1224">
        <v>25.3</v>
      </c>
      <c r="D1224">
        <v>0</v>
      </c>
      <c r="E1224" t="s">
        <v>19</v>
      </c>
      <c r="F1224" t="s">
        <v>7</v>
      </c>
      <c r="G1224">
        <v>8442.6669999999995</v>
      </c>
      <c r="H1224">
        <v>128.1</v>
      </c>
      <c r="I1224" t="s">
        <v>3</v>
      </c>
      <c r="J1224" t="b">
        <v>0</v>
      </c>
      <c r="K1224" t="s">
        <v>15</v>
      </c>
      <c r="L1224">
        <v>177171.86</v>
      </c>
      <c r="M1224" t="str" cm="1">
        <f t="array" ref="M1224">_xlfn.IFS(A1224&lt;30,"Young",A1224&lt;=50,"Adult",A1224&gt;50,"Senior")</f>
        <v>Adult</v>
      </c>
    </row>
    <row r="1225" spans="1:13" x14ac:dyDescent="0.3">
      <c r="A1225">
        <v>20</v>
      </c>
      <c r="B1225" t="s">
        <v>11</v>
      </c>
      <c r="C1225">
        <v>24.42</v>
      </c>
      <c r="D1225">
        <v>0</v>
      </c>
      <c r="E1225" t="s">
        <v>18</v>
      </c>
      <c r="F1225" t="s">
        <v>7</v>
      </c>
      <c r="G1225">
        <v>26125.674770000001</v>
      </c>
      <c r="H1225">
        <v>133.69999999999999</v>
      </c>
      <c r="I1225" t="s">
        <v>2</v>
      </c>
      <c r="J1225" t="b">
        <v>1</v>
      </c>
      <c r="K1225" t="s">
        <v>15</v>
      </c>
      <c r="L1225">
        <v>127640.37</v>
      </c>
      <c r="M1225" t="str" cm="1">
        <f t="array" ref="M1225">_xlfn.IFS(A1225&lt;30,"Young",A1225&lt;=50,"Adult",A1225&gt;50,"Senior")</f>
        <v>Young</v>
      </c>
    </row>
    <row r="1226" spans="1:13" x14ac:dyDescent="0.3">
      <c r="A1226">
        <v>41</v>
      </c>
      <c r="B1226" t="s">
        <v>12</v>
      </c>
      <c r="C1226">
        <v>23.94</v>
      </c>
      <c r="D1226">
        <v>1</v>
      </c>
      <c r="E1226" t="s">
        <v>19</v>
      </c>
      <c r="F1226" t="s">
        <v>9</v>
      </c>
      <c r="G1226">
        <v>6858.4795999999997</v>
      </c>
      <c r="H1226">
        <v>136.69999999999999</v>
      </c>
      <c r="I1226" t="s">
        <v>3</v>
      </c>
      <c r="J1226" t="b">
        <v>0</v>
      </c>
      <c r="K1226" t="s">
        <v>14</v>
      </c>
      <c r="L1226">
        <v>190312</v>
      </c>
      <c r="M1226" t="str" cm="1">
        <f t="array" ref="M1226">_xlfn.IFS(A1226&lt;30,"Young",A1226&lt;=50,"Adult",A1226&gt;50,"Senior")</f>
        <v>Adult</v>
      </c>
    </row>
    <row r="1227" spans="1:13" x14ac:dyDescent="0.3">
      <c r="A1227">
        <v>33</v>
      </c>
      <c r="B1227" t="s">
        <v>11</v>
      </c>
      <c r="C1227">
        <v>39.82</v>
      </c>
      <c r="D1227">
        <v>1</v>
      </c>
      <c r="E1227" t="s">
        <v>19</v>
      </c>
      <c r="F1227" t="s">
        <v>7</v>
      </c>
      <c r="G1227">
        <v>4795.6567999999997</v>
      </c>
      <c r="H1227">
        <v>112</v>
      </c>
      <c r="I1227" t="s">
        <v>2</v>
      </c>
      <c r="J1227" t="b">
        <v>1</v>
      </c>
      <c r="K1227" t="s">
        <v>16</v>
      </c>
      <c r="L1227">
        <v>145082.35999999999</v>
      </c>
      <c r="M1227" t="str" cm="1">
        <f t="array" ref="M1227">_xlfn.IFS(A1227&lt;30,"Young",A1227&lt;=50,"Adult",A1227&gt;50,"Senior")</f>
        <v>Adult</v>
      </c>
    </row>
    <row r="1228" spans="1:13" x14ac:dyDescent="0.3">
      <c r="A1228">
        <v>38</v>
      </c>
      <c r="B1228" t="s">
        <v>12</v>
      </c>
      <c r="C1228">
        <v>16.815000000000001</v>
      </c>
      <c r="D1228">
        <v>2</v>
      </c>
      <c r="E1228" t="s">
        <v>19</v>
      </c>
      <c r="F1228" t="s">
        <v>9</v>
      </c>
      <c r="G1228">
        <v>6640.5448500000002</v>
      </c>
      <c r="H1228">
        <v>125.5</v>
      </c>
      <c r="I1228" t="s">
        <v>3</v>
      </c>
      <c r="J1228" t="b">
        <v>1</v>
      </c>
      <c r="K1228" t="s">
        <v>14</v>
      </c>
      <c r="L1228">
        <v>73123.7</v>
      </c>
      <c r="M1228" t="str" cm="1">
        <f t="array" ref="M1228">_xlfn.IFS(A1228&lt;30,"Young",A1228&lt;=50,"Adult",A1228&gt;50,"Senior")</f>
        <v>Adult</v>
      </c>
    </row>
    <row r="1229" spans="1:13" x14ac:dyDescent="0.3">
      <c r="A1229">
        <v>42</v>
      </c>
      <c r="B1229" t="s">
        <v>12</v>
      </c>
      <c r="C1229">
        <v>37.18</v>
      </c>
      <c r="D1229">
        <v>2</v>
      </c>
      <c r="E1229" t="s">
        <v>19</v>
      </c>
      <c r="F1229" t="s">
        <v>7</v>
      </c>
      <c r="G1229">
        <v>7162.0122000000001</v>
      </c>
      <c r="H1229">
        <v>119.2</v>
      </c>
      <c r="I1229" t="s">
        <v>3</v>
      </c>
      <c r="J1229" t="b">
        <v>0</v>
      </c>
      <c r="K1229" t="s">
        <v>16</v>
      </c>
      <c r="L1229">
        <v>193432.9</v>
      </c>
      <c r="M1229" t="str" cm="1">
        <f t="array" ref="M1229">_xlfn.IFS(A1229&lt;30,"Young",A1229&lt;=50,"Adult",A1229&gt;50,"Senior")</f>
        <v>Adult</v>
      </c>
    </row>
    <row r="1230" spans="1:13" x14ac:dyDescent="0.3">
      <c r="A1230">
        <v>56</v>
      </c>
      <c r="B1230" t="s">
        <v>12</v>
      </c>
      <c r="C1230">
        <v>34.43</v>
      </c>
      <c r="D1230">
        <v>0</v>
      </c>
      <c r="E1230" t="s">
        <v>19</v>
      </c>
      <c r="F1230" t="s">
        <v>7</v>
      </c>
      <c r="G1230">
        <v>10594.225700000001</v>
      </c>
      <c r="H1230">
        <v>122.8</v>
      </c>
      <c r="I1230" t="s">
        <v>1</v>
      </c>
      <c r="J1230" t="b">
        <v>0</v>
      </c>
      <c r="K1230" t="s">
        <v>15</v>
      </c>
      <c r="L1230">
        <v>133784.57999999999</v>
      </c>
      <c r="M1230" t="str" cm="1">
        <f t="array" ref="M1230">_xlfn.IFS(A1230&lt;30,"Young",A1230&lt;=50,"Adult",A1230&gt;50,"Senior")</f>
        <v>Senior</v>
      </c>
    </row>
    <row r="1231" spans="1:13" x14ac:dyDescent="0.3">
      <c r="A1231">
        <v>58</v>
      </c>
      <c r="B1231" t="s">
        <v>12</v>
      </c>
      <c r="C1231">
        <v>30.305</v>
      </c>
      <c r="D1231">
        <v>0</v>
      </c>
      <c r="E1231" t="s">
        <v>19</v>
      </c>
      <c r="F1231" t="s">
        <v>9</v>
      </c>
      <c r="G1231">
        <v>11938.255950000001</v>
      </c>
      <c r="H1231">
        <v>114.7</v>
      </c>
      <c r="I1231" t="s">
        <v>2</v>
      </c>
      <c r="J1231" t="b">
        <v>0</v>
      </c>
      <c r="K1231" t="s">
        <v>16</v>
      </c>
      <c r="L1231">
        <v>73031.75</v>
      </c>
      <c r="M1231" t="str" cm="1">
        <f t="array" ref="M1231">_xlfn.IFS(A1231&lt;30,"Young",A1231&lt;=50,"Adult",A1231&gt;50,"Senior")</f>
        <v>Senior</v>
      </c>
    </row>
    <row r="1232" spans="1:13" x14ac:dyDescent="0.3">
      <c r="A1232">
        <v>52</v>
      </c>
      <c r="B1232" t="s">
        <v>12</v>
      </c>
      <c r="C1232">
        <v>34.484999999999999</v>
      </c>
      <c r="D1232">
        <v>3</v>
      </c>
      <c r="E1232" t="s">
        <v>18</v>
      </c>
      <c r="F1232" t="s">
        <v>8</v>
      </c>
      <c r="G1232">
        <v>60021.398970000002</v>
      </c>
      <c r="H1232">
        <v>134.30000000000001</v>
      </c>
      <c r="I1232" t="s">
        <v>3</v>
      </c>
      <c r="J1232" t="b">
        <v>1</v>
      </c>
      <c r="K1232" t="s">
        <v>14</v>
      </c>
      <c r="L1232">
        <v>53560.85</v>
      </c>
      <c r="M1232" t="str" cm="1">
        <f t="array" ref="M1232">_xlfn.IFS(A1232&lt;30,"Young",A1232&lt;=50,"Adult",A1232&gt;50,"Senior")</f>
        <v>Senior</v>
      </c>
    </row>
    <row r="1233" spans="1:13" x14ac:dyDescent="0.3">
      <c r="A1233">
        <v>20</v>
      </c>
      <c r="B1233" t="s">
        <v>11</v>
      </c>
      <c r="C1233">
        <v>21.8</v>
      </c>
      <c r="D1233">
        <v>0</v>
      </c>
      <c r="E1233" t="s">
        <v>18</v>
      </c>
      <c r="F1233" t="s">
        <v>6</v>
      </c>
      <c r="G1233">
        <v>20167.336029999999</v>
      </c>
      <c r="H1233">
        <v>131.69999999999999</v>
      </c>
      <c r="I1233" t="s">
        <v>1</v>
      </c>
      <c r="J1233" t="b">
        <v>0</v>
      </c>
      <c r="K1233" t="s">
        <v>16</v>
      </c>
      <c r="L1233">
        <v>32559.05</v>
      </c>
      <c r="M1233" t="str" cm="1">
        <f t="array" ref="M1233">_xlfn.IFS(A1233&lt;30,"Young",A1233&lt;=50,"Adult",A1233&gt;50,"Senior")</f>
        <v>Young</v>
      </c>
    </row>
    <row r="1234" spans="1:13" x14ac:dyDescent="0.3">
      <c r="A1234">
        <v>54</v>
      </c>
      <c r="B1234" t="s">
        <v>11</v>
      </c>
      <c r="C1234">
        <v>24.605</v>
      </c>
      <c r="D1234">
        <v>3</v>
      </c>
      <c r="E1234" t="s">
        <v>19</v>
      </c>
      <c r="F1234" t="s">
        <v>8</v>
      </c>
      <c r="G1234">
        <v>12479.70895</v>
      </c>
      <c r="H1234">
        <v>117.8</v>
      </c>
      <c r="I1234" t="s">
        <v>1</v>
      </c>
      <c r="J1234" t="b">
        <v>1</v>
      </c>
      <c r="K1234" t="s">
        <v>15</v>
      </c>
      <c r="L1234">
        <v>197467.84</v>
      </c>
      <c r="M1234" t="str" cm="1">
        <f t="array" ref="M1234">_xlfn.IFS(A1234&lt;30,"Young",A1234&lt;=50,"Adult",A1234&gt;50,"Senior")</f>
        <v>Senior</v>
      </c>
    </row>
    <row r="1235" spans="1:13" x14ac:dyDescent="0.3">
      <c r="A1235">
        <v>58</v>
      </c>
      <c r="B1235" t="s">
        <v>12</v>
      </c>
      <c r="C1235">
        <v>23.3</v>
      </c>
      <c r="D1235">
        <v>0</v>
      </c>
      <c r="E1235" t="s">
        <v>19</v>
      </c>
      <c r="F1235" t="s">
        <v>6</v>
      </c>
      <c r="G1235">
        <v>11345.519</v>
      </c>
      <c r="H1235">
        <v>127.8</v>
      </c>
      <c r="I1235" t="s">
        <v>3</v>
      </c>
      <c r="J1235" t="b">
        <v>0</v>
      </c>
      <c r="K1235" t="s">
        <v>16</v>
      </c>
      <c r="L1235">
        <v>177614.57</v>
      </c>
      <c r="M1235" t="str" cm="1">
        <f t="array" ref="M1235">_xlfn.IFS(A1235&lt;30,"Young",A1235&lt;=50,"Adult",A1235&gt;50,"Senior")</f>
        <v>Senior</v>
      </c>
    </row>
    <row r="1236" spans="1:13" x14ac:dyDescent="0.3">
      <c r="A1236">
        <v>45</v>
      </c>
      <c r="B1236" t="s">
        <v>11</v>
      </c>
      <c r="C1236">
        <v>27.83</v>
      </c>
      <c r="D1236">
        <v>2</v>
      </c>
      <c r="E1236" t="s">
        <v>19</v>
      </c>
      <c r="F1236" t="s">
        <v>7</v>
      </c>
      <c r="G1236">
        <v>8515.7587000000003</v>
      </c>
      <c r="H1236">
        <v>118.2</v>
      </c>
      <c r="I1236" t="s">
        <v>0</v>
      </c>
      <c r="J1236" t="b">
        <v>1</v>
      </c>
      <c r="K1236" t="s">
        <v>15</v>
      </c>
      <c r="L1236">
        <v>158179.32</v>
      </c>
      <c r="M1236" t="str" cm="1">
        <f t="array" ref="M1236">_xlfn.IFS(A1236&lt;30,"Young",A1236&lt;=50,"Adult",A1236&gt;50,"Senior")</f>
        <v>Adult</v>
      </c>
    </row>
    <row r="1237" spans="1:13" x14ac:dyDescent="0.3">
      <c r="A1237">
        <v>26</v>
      </c>
      <c r="B1237" t="s">
        <v>12</v>
      </c>
      <c r="C1237">
        <v>31.065000000000001</v>
      </c>
      <c r="D1237">
        <v>0</v>
      </c>
      <c r="E1237" t="s">
        <v>19</v>
      </c>
      <c r="F1237" t="s">
        <v>8</v>
      </c>
      <c r="G1237">
        <v>2699.56835</v>
      </c>
      <c r="H1237">
        <v>121.3</v>
      </c>
      <c r="I1237" t="s">
        <v>3</v>
      </c>
      <c r="J1237" t="b">
        <v>1</v>
      </c>
      <c r="K1237" t="s">
        <v>15</v>
      </c>
      <c r="L1237">
        <v>102567.54</v>
      </c>
      <c r="M1237" t="str" cm="1">
        <f t="array" ref="M1237">_xlfn.IFS(A1237&lt;30,"Young",A1237&lt;=50,"Adult",A1237&gt;50,"Senior")</f>
        <v>Young</v>
      </c>
    </row>
    <row r="1238" spans="1:13" x14ac:dyDescent="0.3">
      <c r="A1238">
        <v>63</v>
      </c>
      <c r="B1238" t="s">
        <v>11</v>
      </c>
      <c r="C1238">
        <v>21.66</v>
      </c>
      <c r="D1238">
        <v>0</v>
      </c>
      <c r="E1238" t="s">
        <v>19</v>
      </c>
      <c r="F1238" t="s">
        <v>9</v>
      </c>
      <c r="G1238">
        <v>14449.8544</v>
      </c>
      <c r="H1238">
        <v>113.6</v>
      </c>
      <c r="I1238" t="s">
        <v>0</v>
      </c>
      <c r="J1238" t="b">
        <v>0</v>
      </c>
      <c r="K1238" t="s">
        <v>14</v>
      </c>
      <c r="L1238">
        <v>178242.73</v>
      </c>
      <c r="M1238" t="str" cm="1">
        <f t="array" ref="M1238">_xlfn.IFS(A1238&lt;30,"Young",A1238&lt;=50,"Adult",A1238&gt;50,"Senior")</f>
        <v>Senior</v>
      </c>
    </row>
    <row r="1239" spans="1:13" x14ac:dyDescent="0.3">
      <c r="A1239">
        <v>58</v>
      </c>
      <c r="B1239" t="s">
        <v>11</v>
      </c>
      <c r="C1239">
        <v>28.215</v>
      </c>
      <c r="D1239">
        <v>0</v>
      </c>
      <c r="E1239" t="s">
        <v>19</v>
      </c>
      <c r="F1239" t="s">
        <v>8</v>
      </c>
      <c r="G1239">
        <v>12224.350850000001</v>
      </c>
      <c r="H1239">
        <v>130</v>
      </c>
      <c r="I1239" t="s">
        <v>3</v>
      </c>
      <c r="J1239" t="b">
        <v>0</v>
      </c>
      <c r="K1239" t="s">
        <v>15</v>
      </c>
      <c r="L1239">
        <v>88641.89</v>
      </c>
      <c r="M1239" t="str" cm="1">
        <f t="array" ref="M1239">_xlfn.IFS(A1239&lt;30,"Young",A1239&lt;=50,"Adult",A1239&gt;50,"Senior")</f>
        <v>Senior</v>
      </c>
    </row>
    <row r="1240" spans="1:13" x14ac:dyDescent="0.3">
      <c r="A1240">
        <v>37</v>
      </c>
      <c r="B1240" t="s">
        <v>12</v>
      </c>
      <c r="C1240">
        <v>22.704999999999998</v>
      </c>
      <c r="D1240">
        <v>3</v>
      </c>
      <c r="E1240" t="s">
        <v>19</v>
      </c>
      <c r="F1240" t="s">
        <v>9</v>
      </c>
      <c r="G1240">
        <v>6985.50695</v>
      </c>
      <c r="H1240">
        <v>126.2</v>
      </c>
      <c r="I1240" t="s">
        <v>3</v>
      </c>
      <c r="J1240" t="b">
        <v>1</v>
      </c>
      <c r="K1240" t="s">
        <v>16</v>
      </c>
      <c r="L1240">
        <v>191091.57</v>
      </c>
      <c r="M1240" t="str" cm="1">
        <f t="array" ref="M1240">_xlfn.IFS(A1240&lt;30,"Young",A1240&lt;=50,"Adult",A1240&gt;50,"Senior")</f>
        <v>Adult</v>
      </c>
    </row>
    <row r="1241" spans="1:13" x14ac:dyDescent="0.3">
      <c r="A1241">
        <v>25</v>
      </c>
      <c r="B1241" t="s">
        <v>11</v>
      </c>
      <c r="C1241">
        <v>42.13</v>
      </c>
      <c r="D1241">
        <v>1</v>
      </c>
      <c r="E1241" t="s">
        <v>19</v>
      </c>
      <c r="F1241" t="s">
        <v>7</v>
      </c>
      <c r="G1241">
        <v>3238.4357</v>
      </c>
      <c r="H1241">
        <v>135.5</v>
      </c>
      <c r="I1241" t="s">
        <v>3</v>
      </c>
      <c r="J1241" t="b">
        <v>1</v>
      </c>
      <c r="K1241" t="s">
        <v>15</v>
      </c>
      <c r="L1241">
        <v>164644.42000000001</v>
      </c>
      <c r="M1241" t="str" cm="1">
        <f t="array" ref="M1241">_xlfn.IFS(A1241&lt;30,"Young",A1241&lt;=50,"Adult",A1241&gt;50,"Senior")</f>
        <v>Young</v>
      </c>
    </row>
    <row r="1242" spans="1:13" x14ac:dyDescent="0.3">
      <c r="A1242">
        <v>52</v>
      </c>
      <c r="B1242" t="s">
        <v>12</v>
      </c>
      <c r="C1242">
        <v>41.8</v>
      </c>
      <c r="D1242">
        <v>2</v>
      </c>
      <c r="E1242" t="s">
        <v>18</v>
      </c>
      <c r="F1242" t="s">
        <v>7</v>
      </c>
      <c r="G1242">
        <v>47269.853999999999</v>
      </c>
      <c r="H1242">
        <v>110.3</v>
      </c>
      <c r="I1242" t="s">
        <v>1</v>
      </c>
      <c r="J1242" t="b">
        <v>0</v>
      </c>
      <c r="K1242" t="s">
        <v>15</v>
      </c>
      <c r="L1242">
        <v>196928.42</v>
      </c>
      <c r="M1242" t="str" cm="1">
        <f t="array" ref="M1242">_xlfn.IFS(A1242&lt;30,"Young",A1242&lt;=50,"Adult",A1242&gt;50,"Senior")</f>
        <v>Senior</v>
      </c>
    </row>
    <row r="1243" spans="1:13" x14ac:dyDescent="0.3">
      <c r="A1243">
        <v>64</v>
      </c>
      <c r="B1243" t="s">
        <v>12</v>
      </c>
      <c r="C1243">
        <v>36.96</v>
      </c>
      <c r="D1243">
        <v>2</v>
      </c>
      <c r="E1243" t="s">
        <v>18</v>
      </c>
      <c r="F1243" t="s">
        <v>7</v>
      </c>
      <c r="G1243">
        <v>49577.662400000001</v>
      </c>
      <c r="H1243">
        <v>118</v>
      </c>
      <c r="I1243" t="s">
        <v>1</v>
      </c>
      <c r="J1243" t="b">
        <v>1</v>
      </c>
      <c r="K1243" t="s">
        <v>16</v>
      </c>
      <c r="L1243">
        <v>121909.27</v>
      </c>
      <c r="M1243" t="str" cm="1">
        <f t="array" ref="M1243">_xlfn.IFS(A1243&lt;30,"Young",A1243&lt;=50,"Adult",A1243&gt;50,"Senior")</f>
        <v>Senior</v>
      </c>
    </row>
    <row r="1244" spans="1:13" x14ac:dyDescent="0.3">
      <c r="A1244">
        <v>22</v>
      </c>
      <c r="B1244" t="s">
        <v>11</v>
      </c>
      <c r="C1244">
        <v>21.28</v>
      </c>
      <c r="D1244">
        <v>3</v>
      </c>
      <c r="E1244" t="s">
        <v>19</v>
      </c>
      <c r="F1244" t="s">
        <v>8</v>
      </c>
      <c r="G1244">
        <v>4296.2712000000001</v>
      </c>
      <c r="H1244">
        <v>126</v>
      </c>
      <c r="I1244" t="s">
        <v>1</v>
      </c>
      <c r="J1244" t="b">
        <v>0</v>
      </c>
      <c r="K1244" t="s">
        <v>15</v>
      </c>
      <c r="L1244">
        <v>77478.960000000006</v>
      </c>
      <c r="M1244" t="str" cm="1">
        <f t="array" ref="M1244">_xlfn.IFS(A1244&lt;30,"Young",A1244&lt;=50,"Adult",A1244&gt;50,"Senior")</f>
        <v>Young</v>
      </c>
    </row>
    <row r="1245" spans="1:13" x14ac:dyDescent="0.3">
      <c r="A1245">
        <v>28</v>
      </c>
      <c r="B1245" t="s">
        <v>11</v>
      </c>
      <c r="C1245">
        <v>33.11</v>
      </c>
      <c r="D1245">
        <v>0</v>
      </c>
      <c r="E1245" t="s">
        <v>19</v>
      </c>
      <c r="F1245" t="s">
        <v>7</v>
      </c>
      <c r="G1245">
        <v>3171.6149</v>
      </c>
      <c r="H1245">
        <v>129.9</v>
      </c>
      <c r="I1245" t="s">
        <v>0</v>
      </c>
      <c r="J1245" t="b">
        <v>0</v>
      </c>
      <c r="K1245" t="s">
        <v>16</v>
      </c>
      <c r="L1245">
        <v>143955.01</v>
      </c>
      <c r="M1245" t="str" cm="1">
        <f t="array" ref="M1245">_xlfn.IFS(A1245&lt;30,"Young",A1245&lt;=50,"Adult",A1245&gt;50,"Senior")</f>
        <v>Young</v>
      </c>
    </row>
    <row r="1246" spans="1:13" x14ac:dyDescent="0.3">
      <c r="A1246">
        <v>18</v>
      </c>
      <c r="B1246" t="s">
        <v>12</v>
      </c>
      <c r="C1246">
        <v>33.33</v>
      </c>
      <c r="D1246">
        <v>0</v>
      </c>
      <c r="E1246" t="s">
        <v>19</v>
      </c>
      <c r="F1246" t="s">
        <v>7</v>
      </c>
      <c r="G1246">
        <v>1135.9407000000001</v>
      </c>
      <c r="H1246">
        <v>113.1</v>
      </c>
      <c r="I1246" t="s">
        <v>2</v>
      </c>
      <c r="J1246" t="b">
        <v>1</v>
      </c>
      <c r="K1246" t="s">
        <v>16</v>
      </c>
      <c r="L1246">
        <v>187227.56</v>
      </c>
      <c r="M1246" t="str" cm="1">
        <f t="array" ref="M1246">_xlfn.IFS(A1246&lt;30,"Young",A1246&lt;=50,"Adult",A1246&gt;50,"Senior")</f>
        <v>Young</v>
      </c>
    </row>
    <row r="1247" spans="1:13" x14ac:dyDescent="0.3">
      <c r="A1247">
        <v>28</v>
      </c>
      <c r="B1247" t="s">
        <v>12</v>
      </c>
      <c r="C1247">
        <v>24.3</v>
      </c>
      <c r="D1247">
        <v>5</v>
      </c>
      <c r="E1247" t="s">
        <v>19</v>
      </c>
      <c r="F1247" t="s">
        <v>6</v>
      </c>
      <c r="G1247">
        <v>5615.3689999999997</v>
      </c>
      <c r="H1247">
        <v>112.6</v>
      </c>
      <c r="I1247" t="s">
        <v>2</v>
      </c>
      <c r="J1247" t="b">
        <v>0</v>
      </c>
      <c r="K1247" t="s">
        <v>16</v>
      </c>
      <c r="L1247">
        <v>183294.95</v>
      </c>
      <c r="M1247" t="str" cm="1">
        <f t="array" ref="M1247">_xlfn.IFS(A1247&lt;30,"Young",A1247&lt;=50,"Adult",A1247&gt;50,"Senior")</f>
        <v>Young</v>
      </c>
    </row>
    <row r="1248" spans="1:13" x14ac:dyDescent="0.3">
      <c r="A1248">
        <v>45</v>
      </c>
      <c r="B1248" t="s">
        <v>11</v>
      </c>
      <c r="C1248">
        <v>25.7</v>
      </c>
      <c r="D1248">
        <v>3</v>
      </c>
      <c r="E1248" t="s">
        <v>19</v>
      </c>
      <c r="F1248" t="s">
        <v>6</v>
      </c>
      <c r="G1248">
        <v>9101.7980000000007</v>
      </c>
      <c r="H1248">
        <v>124.5</v>
      </c>
      <c r="I1248" t="s">
        <v>1</v>
      </c>
      <c r="J1248" t="b">
        <v>0</v>
      </c>
      <c r="K1248" t="s">
        <v>14</v>
      </c>
      <c r="L1248">
        <v>173815.73</v>
      </c>
      <c r="M1248" t="str" cm="1">
        <f t="array" ref="M1248">_xlfn.IFS(A1248&lt;30,"Young",A1248&lt;=50,"Adult",A1248&gt;50,"Senior")</f>
        <v>Adult</v>
      </c>
    </row>
    <row r="1249" spans="1:13" x14ac:dyDescent="0.3">
      <c r="A1249">
        <v>33</v>
      </c>
      <c r="B1249" t="s">
        <v>12</v>
      </c>
      <c r="C1249">
        <v>29.4</v>
      </c>
      <c r="D1249">
        <v>4</v>
      </c>
      <c r="E1249" t="s">
        <v>19</v>
      </c>
      <c r="F1249" t="s">
        <v>6</v>
      </c>
      <c r="G1249">
        <v>6059.1729999999998</v>
      </c>
      <c r="H1249">
        <v>111.8</v>
      </c>
      <c r="I1249" t="s">
        <v>2</v>
      </c>
      <c r="J1249" t="b">
        <v>1</v>
      </c>
      <c r="K1249" t="s">
        <v>15</v>
      </c>
      <c r="L1249">
        <v>86169.73</v>
      </c>
      <c r="M1249" t="str" cm="1">
        <f t="array" ref="M1249">_xlfn.IFS(A1249&lt;30,"Young",A1249&lt;=50,"Adult",A1249&gt;50,"Senior")</f>
        <v>Adult</v>
      </c>
    </row>
    <row r="1250" spans="1:13" x14ac:dyDescent="0.3">
      <c r="A1250">
        <v>18</v>
      </c>
      <c r="B1250" t="s">
        <v>11</v>
      </c>
      <c r="C1250">
        <v>39.82</v>
      </c>
      <c r="D1250">
        <v>0</v>
      </c>
      <c r="E1250" t="s">
        <v>19</v>
      </c>
      <c r="F1250" t="s">
        <v>7</v>
      </c>
      <c r="G1250">
        <v>1633.9618</v>
      </c>
      <c r="H1250">
        <v>111.9</v>
      </c>
      <c r="I1250" t="s">
        <v>0</v>
      </c>
      <c r="J1250" t="b">
        <v>1</v>
      </c>
      <c r="K1250" t="s">
        <v>14</v>
      </c>
      <c r="L1250">
        <v>42137.96</v>
      </c>
      <c r="M1250" t="str" cm="1">
        <f t="array" ref="M1250">_xlfn.IFS(A1250&lt;30,"Young",A1250&lt;=50,"Adult",A1250&gt;50,"Senior")</f>
        <v>Young</v>
      </c>
    </row>
    <row r="1251" spans="1:13" x14ac:dyDescent="0.3">
      <c r="A1251">
        <v>32</v>
      </c>
      <c r="B1251" t="s">
        <v>12</v>
      </c>
      <c r="C1251">
        <v>33.630000000000003</v>
      </c>
      <c r="D1251">
        <v>1</v>
      </c>
      <c r="E1251" t="s">
        <v>18</v>
      </c>
      <c r="F1251" t="s">
        <v>9</v>
      </c>
      <c r="G1251">
        <v>37607.527699999999</v>
      </c>
      <c r="H1251">
        <v>133.4</v>
      </c>
      <c r="I1251" t="s">
        <v>3</v>
      </c>
      <c r="J1251" t="b">
        <v>1</v>
      </c>
      <c r="K1251" t="s">
        <v>15</v>
      </c>
      <c r="L1251">
        <v>50675.13</v>
      </c>
      <c r="M1251" t="str" cm="1">
        <f t="array" ref="M1251">_xlfn.IFS(A1251&lt;30,"Young",A1251&lt;=50,"Adult",A1251&gt;50,"Senior")</f>
        <v>Adult</v>
      </c>
    </row>
    <row r="1252" spans="1:13" x14ac:dyDescent="0.3">
      <c r="A1252">
        <v>24</v>
      </c>
      <c r="B1252" t="s">
        <v>12</v>
      </c>
      <c r="C1252">
        <v>29.83</v>
      </c>
      <c r="D1252">
        <v>0</v>
      </c>
      <c r="E1252" t="s">
        <v>18</v>
      </c>
      <c r="F1252" t="s">
        <v>9</v>
      </c>
      <c r="G1252">
        <v>18648.421699999999</v>
      </c>
      <c r="H1252">
        <v>123.4</v>
      </c>
      <c r="I1252" t="s">
        <v>3</v>
      </c>
      <c r="J1252" t="b">
        <v>0</v>
      </c>
      <c r="K1252" t="s">
        <v>14</v>
      </c>
      <c r="L1252">
        <v>60217.07</v>
      </c>
      <c r="M1252" t="str" cm="1">
        <f t="array" ref="M1252">_xlfn.IFS(A1252&lt;30,"Young",A1252&lt;=50,"Adult",A1252&gt;50,"Senior")</f>
        <v>Young</v>
      </c>
    </row>
    <row r="1253" spans="1:13" x14ac:dyDescent="0.3">
      <c r="A1253">
        <v>19</v>
      </c>
      <c r="B1253" t="s">
        <v>12</v>
      </c>
      <c r="C1253">
        <v>19.8</v>
      </c>
      <c r="D1253">
        <v>0</v>
      </c>
      <c r="E1253" t="s">
        <v>19</v>
      </c>
      <c r="F1253" t="s">
        <v>6</v>
      </c>
      <c r="G1253">
        <v>1241.5650000000001</v>
      </c>
      <c r="H1253">
        <v>118.9</v>
      </c>
      <c r="I1253" t="s">
        <v>3</v>
      </c>
      <c r="J1253" t="b">
        <v>0</v>
      </c>
      <c r="K1253" t="s">
        <v>14</v>
      </c>
      <c r="L1253">
        <v>49690.45</v>
      </c>
      <c r="M1253" t="str" cm="1">
        <f t="array" ref="M1253">_xlfn.IFS(A1253&lt;30,"Young",A1253&lt;=50,"Adult",A1253&gt;50,"Senior")</f>
        <v>Young</v>
      </c>
    </row>
    <row r="1254" spans="1:13" x14ac:dyDescent="0.3">
      <c r="A1254">
        <v>20</v>
      </c>
      <c r="B1254" t="s">
        <v>12</v>
      </c>
      <c r="C1254">
        <v>27.3</v>
      </c>
      <c r="D1254">
        <v>0</v>
      </c>
      <c r="E1254" t="s">
        <v>18</v>
      </c>
      <c r="F1254" t="s">
        <v>6</v>
      </c>
      <c r="G1254">
        <v>16232.847</v>
      </c>
      <c r="H1254">
        <v>117.2</v>
      </c>
      <c r="I1254" t="s">
        <v>0</v>
      </c>
      <c r="J1254" t="b">
        <v>1</v>
      </c>
      <c r="K1254" t="s">
        <v>14</v>
      </c>
      <c r="L1254">
        <v>75528.77</v>
      </c>
      <c r="M1254" t="str" cm="1">
        <f t="array" ref="M1254">_xlfn.IFS(A1254&lt;30,"Young",A1254&lt;=50,"Adult",A1254&gt;50,"Senior")</f>
        <v>Young</v>
      </c>
    </row>
    <row r="1255" spans="1:13" x14ac:dyDescent="0.3">
      <c r="A1255">
        <v>40</v>
      </c>
      <c r="B1255" t="s">
        <v>11</v>
      </c>
      <c r="C1255">
        <v>29.3</v>
      </c>
      <c r="D1255">
        <v>4</v>
      </c>
      <c r="E1255" t="s">
        <v>19</v>
      </c>
      <c r="F1255" t="s">
        <v>6</v>
      </c>
      <c r="G1255">
        <v>15828.82173</v>
      </c>
      <c r="H1255">
        <v>117.2</v>
      </c>
      <c r="I1255" t="s">
        <v>3</v>
      </c>
      <c r="J1255" t="b">
        <v>0</v>
      </c>
      <c r="K1255" t="s">
        <v>15</v>
      </c>
      <c r="L1255">
        <v>58356.87</v>
      </c>
      <c r="M1255" t="str" cm="1">
        <f t="array" ref="M1255">_xlfn.IFS(A1255&lt;30,"Young",A1255&lt;=50,"Adult",A1255&gt;50,"Senior")</f>
        <v>Adult</v>
      </c>
    </row>
    <row r="1256" spans="1:13" x14ac:dyDescent="0.3">
      <c r="A1256">
        <v>34</v>
      </c>
      <c r="B1256" t="s">
        <v>11</v>
      </c>
      <c r="C1256">
        <v>27.72</v>
      </c>
      <c r="D1256">
        <v>0</v>
      </c>
      <c r="E1256" t="s">
        <v>19</v>
      </c>
      <c r="F1256" t="s">
        <v>7</v>
      </c>
      <c r="G1256">
        <v>4415.1588000000002</v>
      </c>
      <c r="H1256">
        <v>116.8</v>
      </c>
      <c r="I1256" t="s">
        <v>0</v>
      </c>
      <c r="J1256" t="b">
        <v>0</v>
      </c>
      <c r="K1256" t="s">
        <v>15</v>
      </c>
      <c r="L1256">
        <v>179908.14</v>
      </c>
      <c r="M1256" t="str" cm="1">
        <f t="array" ref="M1256">_xlfn.IFS(A1256&lt;30,"Young",A1256&lt;=50,"Adult",A1256&gt;50,"Senior")</f>
        <v>Adult</v>
      </c>
    </row>
    <row r="1257" spans="1:13" x14ac:dyDescent="0.3">
      <c r="A1257">
        <v>42</v>
      </c>
      <c r="B1257" t="s">
        <v>11</v>
      </c>
      <c r="C1257">
        <v>37.9</v>
      </c>
      <c r="D1257">
        <v>0</v>
      </c>
      <c r="E1257" t="s">
        <v>19</v>
      </c>
      <c r="F1257" t="s">
        <v>6</v>
      </c>
      <c r="G1257">
        <v>6474.0129999999999</v>
      </c>
      <c r="H1257">
        <v>115</v>
      </c>
      <c r="I1257" t="s">
        <v>1</v>
      </c>
      <c r="J1257" t="b">
        <v>0</v>
      </c>
      <c r="K1257" t="s">
        <v>15</v>
      </c>
      <c r="L1257">
        <v>119431.81</v>
      </c>
      <c r="M1257" t="str" cm="1">
        <f t="array" ref="M1257">_xlfn.IFS(A1257&lt;30,"Young",A1257&lt;=50,"Adult",A1257&gt;50,"Senior")</f>
        <v>Adult</v>
      </c>
    </row>
    <row r="1258" spans="1:13" x14ac:dyDescent="0.3">
      <c r="A1258">
        <v>51</v>
      </c>
      <c r="B1258" t="s">
        <v>11</v>
      </c>
      <c r="C1258">
        <v>36.384999999999998</v>
      </c>
      <c r="D1258">
        <v>3</v>
      </c>
      <c r="E1258" t="s">
        <v>19</v>
      </c>
      <c r="F1258" t="s">
        <v>8</v>
      </c>
      <c r="G1258">
        <v>11436.738149999999</v>
      </c>
      <c r="H1258">
        <v>114.2</v>
      </c>
      <c r="I1258" t="s">
        <v>3</v>
      </c>
      <c r="J1258" t="b">
        <v>0</v>
      </c>
      <c r="K1258" t="s">
        <v>14</v>
      </c>
      <c r="L1258">
        <v>97513.38</v>
      </c>
      <c r="M1258" t="str" cm="1">
        <f t="array" ref="M1258">_xlfn.IFS(A1258&lt;30,"Young",A1258&lt;=50,"Adult",A1258&gt;50,"Senior")</f>
        <v>Senior</v>
      </c>
    </row>
    <row r="1259" spans="1:13" x14ac:dyDescent="0.3">
      <c r="A1259">
        <v>54</v>
      </c>
      <c r="B1259" t="s">
        <v>11</v>
      </c>
      <c r="C1259">
        <v>27.645</v>
      </c>
      <c r="D1259">
        <v>1</v>
      </c>
      <c r="E1259" t="s">
        <v>19</v>
      </c>
      <c r="F1259" t="s">
        <v>8</v>
      </c>
      <c r="G1259">
        <v>11305.93455</v>
      </c>
      <c r="H1259">
        <v>117.6</v>
      </c>
      <c r="I1259" t="s">
        <v>1</v>
      </c>
      <c r="J1259" t="b">
        <v>0</v>
      </c>
      <c r="K1259" t="s">
        <v>14</v>
      </c>
      <c r="L1259">
        <v>63722.6</v>
      </c>
      <c r="M1259" t="str" cm="1">
        <f t="array" ref="M1259">_xlfn.IFS(A1259&lt;30,"Young",A1259&lt;=50,"Adult",A1259&gt;50,"Senior")</f>
        <v>Senior</v>
      </c>
    </row>
    <row r="1260" spans="1:13" x14ac:dyDescent="0.3">
      <c r="A1260">
        <v>55</v>
      </c>
      <c r="B1260" t="s">
        <v>12</v>
      </c>
      <c r="C1260">
        <v>37.715000000000003</v>
      </c>
      <c r="D1260">
        <v>3</v>
      </c>
      <c r="E1260" t="s">
        <v>19</v>
      </c>
      <c r="F1260" t="s">
        <v>8</v>
      </c>
      <c r="G1260">
        <v>30063.580549999999</v>
      </c>
      <c r="H1260">
        <v>121.6</v>
      </c>
      <c r="I1260" t="s">
        <v>1</v>
      </c>
      <c r="J1260" t="b">
        <v>0</v>
      </c>
      <c r="K1260" t="s">
        <v>15</v>
      </c>
      <c r="L1260">
        <v>189226.48</v>
      </c>
      <c r="M1260" t="str" cm="1">
        <f t="array" ref="M1260">_xlfn.IFS(A1260&lt;30,"Young",A1260&lt;=50,"Adult",A1260&gt;50,"Senior")</f>
        <v>Senior</v>
      </c>
    </row>
    <row r="1261" spans="1:13" x14ac:dyDescent="0.3">
      <c r="A1261">
        <v>52</v>
      </c>
      <c r="B1261" t="s">
        <v>11</v>
      </c>
      <c r="C1261">
        <v>23.18</v>
      </c>
      <c r="D1261">
        <v>0</v>
      </c>
      <c r="E1261" t="s">
        <v>19</v>
      </c>
      <c r="F1261" t="s">
        <v>9</v>
      </c>
      <c r="G1261">
        <v>10197.772199999999</v>
      </c>
      <c r="H1261">
        <v>126.3</v>
      </c>
      <c r="I1261" t="s">
        <v>0</v>
      </c>
      <c r="J1261" t="b">
        <v>0</v>
      </c>
      <c r="K1261" t="s">
        <v>14</v>
      </c>
      <c r="L1261">
        <v>132799.45000000001</v>
      </c>
      <c r="M1261" t="str" cm="1">
        <f t="array" ref="M1261">_xlfn.IFS(A1261&lt;30,"Young",A1261&lt;=50,"Adult",A1261&gt;50,"Senior")</f>
        <v>Senior</v>
      </c>
    </row>
    <row r="1262" spans="1:13" x14ac:dyDescent="0.3">
      <c r="A1262">
        <v>32</v>
      </c>
      <c r="B1262" t="s">
        <v>11</v>
      </c>
      <c r="C1262">
        <v>20.52</v>
      </c>
      <c r="D1262">
        <v>0</v>
      </c>
      <c r="E1262" t="s">
        <v>19</v>
      </c>
      <c r="F1262" t="s">
        <v>9</v>
      </c>
      <c r="G1262">
        <v>4544.2348000000002</v>
      </c>
      <c r="H1262">
        <v>128</v>
      </c>
      <c r="I1262" t="s">
        <v>1</v>
      </c>
      <c r="J1262" t="b">
        <v>0</v>
      </c>
      <c r="K1262" t="s">
        <v>14</v>
      </c>
      <c r="L1262">
        <v>125075.36</v>
      </c>
      <c r="M1262" t="str" cm="1">
        <f t="array" ref="M1262">_xlfn.IFS(A1262&lt;30,"Young",A1262&lt;=50,"Adult",A1262&gt;50,"Senior")</f>
        <v>Adult</v>
      </c>
    </row>
    <row r="1263" spans="1:13" x14ac:dyDescent="0.3">
      <c r="A1263">
        <v>28</v>
      </c>
      <c r="B1263" t="s">
        <v>12</v>
      </c>
      <c r="C1263">
        <v>37.1</v>
      </c>
      <c r="D1263">
        <v>1</v>
      </c>
      <c r="E1263" t="s">
        <v>19</v>
      </c>
      <c r="F1263" t="s">
        <v>6</v>
      </c>
      <c r="G1263">
        <v>3277.1610000000001</v>
      </c>
      <c r="H1263">
        <v>118.1</v>
      </c>
      <c r="I1263" t="s">
        <v>1</v>
      </c>
      <c r="J1263" t="b">
        <v>1</v>
      </c>
      <c r="K1263" t="s">
        <v>15</v>
      </c>
      <c r="L1263">
        <v>56199.25</v>
      </c>
      <c r="M1263" t="str" cm="1">
        <f t="array" ref="M1263">_xlfn.IFS(A1263&lt;30,"Young",A1263&lt;=50,"Adult",A1263&gt;50,"Senior")</f>
        <v>Young</v>
      </c>
    </row>
    <row r="1264" spans="1:13" x14ac:dyDescent="0.3">
      <c r="A1264">
        <v>41</v>
      </c>
      <c r="B1264" t="s">
        <v>11</v>
      </c>
      <c r="C1264">
        <v>28.05</v>
      </c>
      <c r="D1264">
        <v>1</v>
      </c>
      <c r="E1264" t="s">
        <v>19</v>
      </c>
      <c r="F1264" t="s">
        <v>7</v>
      </c>
      <c r="G1264">
        <v>6770.1925000000001</v>
      </c>
      <c r="H1264">
        <v>135.19999999999999</v>
      </c>
      <c r="I1264" t="s">
        <v>1</v>
      </c>
      <c r="J1264" t="b">
        <v>0</v>
      </c>
      <c r="K1264" t="s">
        <v>16</v>
      </c>
      <c r="L1264">
        <v>89664.74</v>
      </c>
      <c r="M1264" t="str" cm="1">
        <f t="array" ref="M1264">_xlfn.IFS(A1264&lt;30,"Young",A1264&lt;=50,"Adult",A1264&gt;50,"Senior")</f>
        <v>Adult</v>
      </c>
    </row>
    <row r="1265" spans="1:13" x14ac:dyDescent="0.3">
      <c r="A1265">
        <v>43</v>
      </c>
      <c r="B1265" t="s">
        <v>11</v>
      </c>
      <c r="C1265">
        <v>29.9</v>
      </c>
      <c r="D1265">
        <v>1</v>
      </c>
      <c r="E1265" t="s">
        <v>19</v>
      </c>
      <c r="F1265" t="s">
        <v>6</v>
      </c>
      <c r="G1265">
        <v>7337.7479999999996</v>
      </c>
      <c r="H1265">
        <v>110.9</v>
      </c>
      <c r="I1265" t="s">
        <v>0</v>
      </c>
      <c r="J1265" t="b">
        <v>0</v>
      </c>
      <c r="K1265" t="s">
        <v>16</v>
      </c>
      <c r="L1265">
        <v>116416.36</v>
      </c>
      <c r="M1265" t="str" cm="1">
        <f t="array" ref="M1265">_xlfn.IFS(A1265&lt;30,"Young",A1265&lt;=50,"Adult",A1265&gt;50,"Senior")</f>
        <v>Adult</v>
      </c>
    </row>
    <row r="1266" spans="1:13" x14ac:dyDescent="0.3">
      <c r="A1266">
        <v>49</v>
      </c>
      <c r="B1266" t="s">
        <v>11</v>
      </c>
      <c r="C1266">
        <v>33.344999999999999</v>
      </c>
      <c r="D1266">
        <v>2</v>
      </c>
      <c r="E1266" t="s">
        <v>19</v>
      </c>
      <c r="F1266" t="s">
        <v>9</v>
      </c>
      <c r="G1266">
        <v>10370.912549999999</v>
      </c>
      <c r="H1266">
        <v>112</v>
      </c>
      <c r="I1266" t="s">
        <v>3</v>
      </c>
      <c r="J1266" t="b">
        <v>1</v>
      </c>
      <c r="K1266" t="s">
        <v>14</v>
      </c>
      <c r="L1266">
        <v>50870.02</v>
      </c>
      <c r="M1266" t="str" cm="1">
        <f t="array" ref="M1266">_xlfn.IFS(A1266&lt;30,"Young",A1266&lt;=50,"Adult",A1266&gt;50,"Senior")</f>
        <v>Adult</v>
      </c>
    </row>
    <row r="1267" spans="1:13" x14ac:dyDescent="0.3">
      <c r="A1267">
        <v>64</v>
      </c>
      <c r="B1267" t="s">
        <v>12</v>
      </c>
      <c r="C1267">
        <v>23.76</v>
      </c>
      <c r="D1267">
        <v>0</v>
      </c>
      <c r="E1267" t="s">
        <v>18</v>
      </c>
      <c r="F1267" t="s">
        <v>7</v>
      </c>
      <c r="G1267">
        <v>26926.5144</v>
      </c>
      <c r="H1267">
        <v>118.2</v>
      </c>
      <c r="I1267" t="s">
        <v>0</v>
      </c>
      <c r="J1267" t="b">
        <v>1</v>
      </c>
      <c r="K1267" t="s">
        <v>15</v>
      </c>
      <c r="L1267">
        <v>123027.92</v>
      </c>
      <c r="M1267" t="str" cm="1">
        <f t="array" ref="M1267">_xlfn.IFS(A1267&lt;30,"Young",A1267&lt;=50,"Adult",A1267&gt;50,"Senior")</f>
        <v>Senior</v>
      </c>
    </row>
    <row r="1268" spans="1:13" x14ac:dyDescent="0.3">
      <c r="A1268">
        <v>55</v>
      </c>
      <c r="B1268" t="s">
        <v>11</v>
      </c>
      <c r="C1268">
        <v>30.5</v>
      </c>
      <c r="D1268">
        <v>0</v>
      </c>
      <c r="E1268" t="s">
        <v>19</v>
      </c>
      <c r="F1268" t="s">
        <v>6</v>
      </c>
      <c r="G1268">
        <v>10704.47</v>
      </c>
      <c r="H1268">
        <v>127.4</v>
      </c>
      <c r="I1268" t="s">
        <v>0</v>
      </c>
      <c r="J1268" t="b">
        <v>0</v>
      </c>
      <c r="K1268" t="s">
        <v>16</v>
      </c>
      <c r="L1268">
        <v>167511.31</v>
      </c>
      <c r="M1268" t="str" cm="1">
        <f t="array" ref="M1268">_xlfn.IFS(A1268&lt;30,"Young",A1268&lt;=50,"Adult",A1268&gt;50,"Senior")</f>
        <v>Senior</v>
      </c>
    </row>
    <row r="1269" spans="1:13" x14ac:dyDescent="0.3">
      <c r="A1269">
        <v>24</v>
      </c>
      <c r="B1269" t="s">
        <v>12</v>
      </c>
      <c r="C1269">
        <v>31.065000000000001</v>
      </c>
      <c r="D1269">
        <v>0</v>
      </c>
      <c r="E1269" t="s">
        <v>18</v>
      </c>
      <c r="F1269" t="s">
        <v>9</v>
      </c>
      <c r="G1269">
        <v>34254.053350000002</v>
      </c>
      <c r="H1269">
        <v>135.1</v>
      </c>
      <c r="I1269" t="s">
        <v>3</v>
      </c>
      <c r="J1269" t="b">
        <v>0</v>
      </c>
      <c r="K1269" t="s">
        <v>15</v>
      </c>
      <c r="L1269">
        <v>49702.01</v>
      </c>
      <c r="M1269" t="str" cm="1">
        <f t="array" ref="M1269">_xlfn.IFS(A1269&lt;30,"Young",A1269&lt;=50,"Adult",A1269&gt;50,"Senior")</f>
        <v>Young</v>
      </c>
    </row>
    <row r="1270" spans="1:13" x14ac:dyDescent="0.3">
      <c r="A1270">
        <v>20</v>
      </c>
      <c r="B1270" t="s">
        <v>11</v>
      </c>
      <c r="C1270">
        <v>33.299999999999997</v>
      </c>
      <c r="D1270">
        <v>0</v>
      </c>
      <c r="E1270" t="s">
        <v>19</v>
      </c>
      <c r="F1270" t="s">
        <v>6</v>
      </c>
      <c r="G1270">
        <v>1880.4870000000001</v>
      </c>
      <c r="H1270">
        <v>136.4</v>
      </c>
      <c r="I1270" t="s">
        <v>1</v>
      </c>
      <c r="J1270" t="b">
        <v>0</v>
      </c>
      <c r="K1270" t="s">
        <v>16</v>
      </c>
      <c r="L1270">
        <v>64567.58</v>
      </c>
      <c r="M1270" t="str" cm="1">
        <f t="array" ref="M1270">_xlfn.IFS(A1270&lt;30,"Young",A1270&lt;=50,"Adult",A1270&gt;50,"Senior")</f>
        <v>Young</v>
      </c>
    </row>
    <row r="1271" spans="1:13" x14ac:dyDescent="0.3">
      <c r="A1271">
        <v>45</v>
      </c>
      <c r="B1271" t="s">
        <v>12</v>
      </c>
      <c r="C1271">
        <v>27.5</v>
      </c>
      <c r="D1271">
        <v>3</v>
      </c>
      <c r="E1271" t="s">
        <v>19</v>
      </c>
      <c r="F1271" t="s">
        <v>6</v>
      </c>
      <c r="G1271">
        <v>8615.2999999999993</v>
      </c>
      <c r="H1271">
        <v>135.69999999999999</v>
      </c>
      <c r="I1271" t="s">
        <v>1</v>
      </c>
      <c r="J1271" t="b">
        <v>1</v>
      </c>
      <c r="K1271" t="s">
        <v>16</v>
      </c>
      <c r="L1271">
        <v>121361.41</v>
      </c>
      <c r="M1271" t="str" cm="1">
        <f t="array" ref="M1271">_xlfn.IFS(A1271&lt;30,"Young",A1271&lt;=50,"Adult",A1271&gt;50,"Senior")</f>
        <v>Adult</v>
      </c>
    </row>
    <row r="1272" spans="1:13" x14ac:dyDescent="0.3">
      <c r="A1272">
        <v>26</v>
      </c>
      <c r="B1272" t="s">
        <v>12</v>
      </c>
      <c r="C1272">
        <v>33.914999999999999</v>
      </c>
      <c r="D1272">
        <v>1</v>
      </c>
      <c r="E1272" t="s">
        <v>19</v>
      </c>
      <c r="F1272" t="s">
        <v>8</v>
      </c>
      <c r="G1272">
        <v>3292.5298499999999</v>
      </c>
      <c r="H1272">
        <v>135.4</v>
      </c>
      <c r="I1272" t="s">
        <v>3</v>
      </c>
      <c r="J1272" t="b">
        <v>0</v>
      </c>
      <c r="K1272" t="s">
        <v>14</v>
      </c>
      <c r="L1272">
        <v>106567.5</v>
      </c>
      <c r="M1272" t="str" cm="1">
        <f t="array" ref="M1272">_xlfn.IFS(A1272&lt;30,"Young",A1272&lt;=50,"Adult",A1272&gt;50,"Senior")</f>
        <v>Young</v>
      </c>
    </row>
    <row r="1273" spans="1:13" x14ac:dyDescent="0.3">
      <c r="A1273">
        <v>25</v>
      </c>
      <c r="B1273" t="s">
        <v>11</v>
      </c>
      <c r="C1273">
        <v>34.484999999999999</v>
      </c>
      <c r="D1273">
        <v>0</v>
      </c>
      <c r="E1273" t="s">
        <v>19</v>
      </c>
      <c r="F1273" t="s">
        <v>8</v>
      </c>
      <c r="G1273">
        <v>3021.80915</v>
      </c>
      <c r="H1273">
        <v>122</v>
      </c>
      <c r="I1273" t="s">
        <v>2</v>
      </c>
      <c r="J1273" t="b">
        <v>1</v>
      </c>
      <c r="K1273" t="s">
        <v>15</v>
      </c>
      <c r="L1273">
        <v>118878.06</v>
      </c>
      <c r="M1273" t="str" cm="1">
        <f t="array" ref="M1273">_xlfn.IFS(A1273&lt;30,"Young",A1273&lt;=50,"Adult",A1273&gt;50,"Senior")</f>
        <v>Young</v>
      </c>
    </row>
    <row r="1274" spans="1:13" x14ac:dyDescent="0.3">
      <c r="A1274">
        <v>43</v>
      </c>
      <c r="B1274" t="s">
        <v>12</v>
      </c>
      <c r="C1274">
        <v>25.52</v>
      </c>
      <c r="D1274">
        <v>5</v>
      </c>
      <c r="E1274" t="s">
        <v>19</v>
      </c>
      <c r="F1274" t="s">
        <v>7</v>
      </c>
      <c r="G1274">
        <v>14478.33015</v>
      </c>
      <c r="H1274">
        <v>119.1</v>
      </c>
      <c r="I1274" t="s">
        <v>1</v>
      </c>
      <c r="J1274" t="b">
        <v>1</v>
      </c>
      <c r="K1274" t="s">
        <v>16</v>
      </c>
      <c r="L1274">
        <v>117793.28</v>
      </c>
      <c r="M1274" t="str" cm="1">
        <f t="array" ref="M1274">_xlfn.IFS(A1274&lt;30,"Young",A1274&lt;=50,"Adult",A1274&gt;50,"Senior")</f>
        <v>Adult</v>
      </c>
    </row>
    <row r="1275" spans="1:13" x14ac:dyDescent="0.3">
      <c r="A1275">
        <v>35</v>
      </c>
      <c r="B1275" t="s">
        <v>12</v>
      </c>
      <c r="C1275">
        <v>27.61</v>
      </c>
      <c r="D1275">
        <v>1</v>
      </c>
      <c r="E1275" t="s">
        <v>19</v>
      </c>
      <c r="F1275" t="s">
        <v>7</v>
      </c>
      <c r="G1275">
        <v>4747.0528999999997</v>
      </c>
      <c r="H1275">
        <v>131.5</v>
      </c>
      <c r="I1275" t="s">
        <v>3</v>
      </c>
      <c r="J1275" t="b">
        <v>0</v>
      </c>
      <c r="K1275" t="s">
        <v>15</v>
      </c>
      <c r="L1275">
        <v>96804.34</v>
      </c>
      <c r="M1275" t="str" cm="1">
        <f t="array" ref="M1275">_xlfn.IFS(A1275&lt;30,"Young",A1275&lt;=50,"Adult",A1275&gt;50,"Senior")</f>
        <v>Adult</v>
      </c>
    </row>
    <row r="1276" spans="1:13" x14ac:dyDescent="0.3">
      <c r="A1276">
        <v>26</v>
      </c>
      <c r="B1276" t="s">
        <v>12</v>
      </c>
      <c r="C1276">
        <v>27.06</v>
      </c>
      <c r="D1276">
        <v>0</v>
      </c>
      <c r="E1276" t="s">
        <v>18</v>
      </c>
      <c r="F1276" t="s">
        <v>7</v>
      </c>
      <c r="G1276">
        <v>17043.341400000001</v>
      </c>
      <c r="H1276">
        <v>135.5</v>
      </c>
      <c r="I1276" t="s">
        <v>3</v>
      </c>
      <c r="J1276" t="b">
        <v>1</v>
      </c>
      <c r="K1276" t="s">
        <v>14</v>
      </c>
      <c r="L1276">
        <v>163878.89000000001</v>
      </c>
      <c r="M1276" t="str" cm="1">
        <f t="array" ref="M1276">_xlfn.IFS(A1276&lt;30,"Young",A1276&lt;=50,"Adult",A1276&gt;50,"Senior")</f>
        <v>Young</v>
      </c>
    </row>
    <row r="1277" spans="1:13" x14ac:dyDescent="0.3">
      <c r="A1277">
        <v>57</v>
      </c>
      <c r="B1277" t="s">
        <v>12</v>
      </c>
      <c r="C1277">
        <v>23.7</v>
      </c>
      <c r="D1277">
        <v>0</v>
      </c>
      <c r="E1277" t="s">
        <v>19</v>
      </c>
      <c r="F1277" t="s">
        <v>6</v>
      </c>
      <c r="G1277">
        <v>10959.33</v>
      </c>
      <c r="H1277">
        <v>135.69999999999999</v>
      </c>
      <c r="I1277" t="s">
        <v>2</v>
      </c>
      <c r="J1277" t="b">
        <v>0</v>
      </c>
      <c r="K1277" t="s">
        <v>16</v>
      </c>
      <c r="L1277">
        <v>65865.37</v>
      </c>
      <c r="M1277" t="str" cm="1">
        <f t="array" ref="M1277">_xlfn.IFS(A1277&lt;30,"Young",A1277&lt;=50,"Adult",A1277&gt;50,"Senior")</f>
        <v>Senior</v>
      </c>
    </row>
    <row r="1278" spans="1:13" x14ac:dyDescent="0.3">
      <c r="A1278">
        <v>22</v>
      </c>
      <c r="B1278" t="s">
        <v>11</v>
      </c>
      <c r="C1278">
        <v>30.4</v>
      </c>
      <c r="D1278">
        <v>0</v>
      </c>
      <c r="E1278" t="s">
        <v>19</v>
      </c>
      <c r="F1278" t="s">
        <v>9</v>
      </c>
      <c r="G1278">
        <v>2741.9479999999999</v>
      </c>
      <c r="H1278">
        <v>124.1</v>
      </c>
      <c r="I1278" t="s">
        <v>2</v>
      </c>
      <c r="J1278" t="b">
        <v>0</v>
      </c>
      <c r="K1278" t="s">
        <v>16</v>
      </c>
      <c r="L1278">
        <v>84291.99</v>
      </c>
      <c r="M1278" t="str" cm="1">
        <f t="array" ref="M1278">_xlfn.IFS(A1278&lt;30,"Young",A1278&lt;=50,"Adult",A1278&gt;50,"Senior")</f>
        <v>Young</v>
      </c>
    </row>
    <row r="1279" spans="1:13" x14ac:dyDescent="0.3">
      <c r="A1279">
        <v>32</v>
      </c>
      <c r="B1279" t="s">
        <v>11</v>
      </c>
      <c r="C1279">
        <v>29.734999999999999</v>
      </c>
      <c r="D1279">
        <v>0</v>
      </c>
      <c r="E1279" t="s">
        <v>19</v>
      </c>
      <c r="F1279" t="s">
        <v>8</v>
      </c>
      <c r="G1279">
        <v>4357.0436499999996</v>
      </c>
      <c r="H1279">
        <v>111.2</v>
      </c>
      <c r="I1279" t="s">
        <v>0</v>
      </c>
      <c r="J1279" t="b">
        <v>0</v>
      </c>
      <c r="K1279" t="s">
        <v>14</v>
      </c>
      <c r="L1279">
        <v>199465.88</v>
      </c>
      <c r="M1279" t="str" cm="1">
        <f t="array" ref="M1279">_xlfn.IFS(A1279&lt;30,"Young",A1279&lt;=50,"Adult",A1279&gt;50,"Senior")</f>
        <v>Adult</v>
      </c>
    </row>
    <row r="1280" spans="1:13" x14ac:dyDescent="0.3">
      <c r="A1280">
        <v>39</v>
      </c>
      <c r="B1280" t="s">
        <v>12</v>
      </c>
      <c r="C1280">
        <v>29.925000000000001</v>
      </c>
      <c r="D1280">
        <v>1</v>
      </c>
      <c r="E1280" t="s">
        <v>18</v>
      </c>
      <c r="F1280" t="s">
        <v>9</v>
      </c>
      <c r="G1280">
        <v>22462.043750000001</v>
      </c>
      <c r="H1280">
        <v>128.9</v>
      </c>
      <c r="I1280" t="s">
        <v>2</v>
      </c>
      <c r="J1280" t="b">
        <v>0</v>
      </c>
      <c r="K1280" t="s">
        <v>14</v>
      </c>
      <c r="L1280">
        <v>75259.199999999997</v>
      </c>
      <c r="M1280" t="str" cm="1">
        <f t="array" ref="M1280">_xlfn.IFS(A1280&lt;30,"Young",A1280&lt;=50,"Adult",A1280&gt;50,"Senior")</f>
        <v>Adult</v>
      </c>
    </row>
    <row r="1281" spans="1:13" x14ac:dyDescent="0.3">
      <c r="A1281">
        <v>25</v>
      </c>
      <c r="B1281" t="s">
        <v>11</v>
      </c>
      <c r="C1281">
        <v>26.79</v>
      </c>
      <c r="D1281">
        <v>2</v>
      </c>
      <c r="E1281" t="s">
        <v>19</v>
      </c>
      <c r="F1281" t="s">
        <v>8</v>
      </c>
      <c r="G1281">
        <v>4189.1130999999996</v>
      </c>
      <c r="H1281">
        <v>117.8</v>
      </c>
      <c r="I1281" t="s">
        <v>0</v>
      </c>
      <c r="J1281" t="b">
        <v>0</v>
      </c>
      <c r="K1281" t="s">
        <v>14</v>
      </c>
      <c r="L1281">
        <v>162161.04</v>
      </c>
      <c r="M1281" t="str" cm="1">
        <f t="array" ref="M1281">_xlfn.IFS(A1281&lt;30,"Young",A1281&lt;=50,"Adult",A1281&gt;50,"Senior")</f>
        <v>Young</v>
      </c>
    </row>
    <row r="1282" spans="1:13" x14ac:dyDescent="0.3">
      <c r="A1282">
        <v>48</v>
      </c>
      <c r="B1282" t="s">
        <v>11</v>
      </c>
      <c r="C1282">
        <v>33.33</v>
      </c>
      <c r="D1282">
        <v>0</v>
      </c>
      <c r="E1282" t="s">
        <v>19</v>
      </c>
      <c r="F1282" t="s">
        <v>7</v>
      </c>
      <c r="G1282">
        <v>8283.6807000000008</v>
      </c>
      <c r="H1282">
        <v>120.8</v>
      </c>
      <c r="I1282" t="s">
        <v>2</v>
      </c>
      <c r="J1282" t="b">
        <v>1</v>
      </c>
      <c r="K1282" t="s">
        <v>16</v>
      </c>
      <c r="L1282">
        <v>192565.03</v>
      </c>
      <c r="M1282" t="str" cm="1">
        <f t="array" ref="M1282">_xlfn.IFS(A1282&lt;30,"Young",A1282&lt;=50,"Adult",A1282&gt;50,"Senior")</f>
        <v>Adult</v>
      </c>
    </row>
    <row r="1283" spans="1:13" x14ac:dyDescent="0.3">
      <c r="A1283">
        <v>47</v>
      </c>
      <c r="B1283" t="s">
        <v>11</v>
      </c>
      <c r="C1283">
        <v>27.645</v>
      </c>
      <c r="D1283">
        <v>2</v>
      </c>
      <c r="E1283" t="s">
        <v>18</v>
      </c>
      <c r="F1283" t="s">
        <v>8</v>
      </c>
      <c r="G1283">
        <v>24535.698550000001</v>
      </c>
      <c r="H1283">
        <v>111.9</v>
      </c>
      <c r="I1283" t="s">
        <v>3</v>
      </c>
      <c r="J1283" t="b">
        <v>0</v>
      </c>
      <c r="K1283" t="s">
        <v>14</v>
      </c>
      <c r="L1283">
        <v>128802.7</v>
      </c>
      <c r="M1283" t="str" cm="1">
        <f t="array" ref="M1283">_xlfn.IFS(A1283&lt;30,"Young",A1283&lt;=50,"Adult",A1283&gt;50,"Senior")</f>
        <v>Adult</v>
      </c>
    </row>
    <row r="1284" spans="1:13" x14ac:dyDescent="0.3">
      <c r="A1284">
        <v>18</v>
      </c>
      <c r="B1284" t="s">
        <v>11</v>
      </c>
      <c r="C1284">
        <v>21.66</v>
      </c>
      <c r="D1284">
        <v>0</v>
      </c>
      <c r="E1284" t="s">
        <v>18</v>
      </c>
      <c r="F1284" t="s">
        <v>9</v>
      </c>
      <c r="G1284">
        <v>14283.4594</v>
      </c>
      <c r="H1284">
        <v>133.19999999999999</v>
      </c>
      <c r="I1284" t="s">
        <v>2</v>
      </c>
      <c r="J1284" t="b">
        <v>0</v>
      </c>
      <c r="K1284" t="s">
        <v>14</v>
      </c>
      <c r="L1284">
        <v>54023.19</v>
      </c>
      <c r="M1284" t="str" cm="1">
        <f t="array" ref="M1284">_xlfn.IFS(A1284&lt;30,"Young",A1284&lt;=50,"Adult",A1284&gt;50,"Senior")</f>
        <v>Young</v>
      </c>
    </row>
    <row r="1285" spans="1:13" x14ac:dyDescent="0.3">
      <c r="A1285">
        <v>18</v>
      </c>
      <c r="B1285" t="s">
        <v>12</v>
      </c>
      <c r="C1285">
        <v>30.03</v>
      </c>
      <c r="D1285">
        <v>1</v>
      </c>
      <c r="E1285" t="s">
        <v>19</v>
      </c>
      <c r="F1285" t="s">
        <v>7</v>
      </c>
      <c r="G1285">
        <v>1720.3536999999999</v>
      </c>
      <c r="H1285">
        <v>125.3</v>
      </c>
      <c r="I1285" t="s">
        <v>0</v>
      </c>
      <c r="J1285" t="b">
        <v>1</v>
      </c>
      <c r="K1285" t="s">
        <v>16</v>
      </c>
      <c r="L1285">
        <v>150015.73000000001</v>
      </c>
      <c r="M1285" t="str" cm="1">
        <f t="array" ref="M1285">_xlfn.IFS(A1285&lt;30,"Young",A1285&lt;=50,"Adult",A1285&gt;50,"Senior")</f>
        <v>Young</v>
      </c>
    </row>
    <row r="1286" spans="1:13" x14ac:dyDescent="0.3">
      <c r="A1286">
        <v>61</v>
      </c>
      <c r="B1286" t="s">
        <v>12</v>
      </c>
      <c r="C1286">
        <v>36.299999999999997</v>
      </c>
      <c r="D1286">
        <v>1</v>
      </c>
      <c r="E1286" t="s">
        <v>18</v>
      </c>
      <c r="F1286" t="s">
        <v>6</v>
      </c>
      <c r="G1286">
        <v>47403.88</v>
      </c>
      <c r="H1286">
        <v>110.6</v>
      </c>
      <c r="I1286" t="s">
        <v>1</v>
      </c>
      <c r="J1286" t="b">
        <v>0</v>
      </c>
      <c r="K1286" t="s">
        <v>14</v>
      </c>
      <c r="L1286">
        <v>107330.49</v>
      </c>
      <c r="M1286" t="str" cm="1">
        <f t="array" ref="M1286">_xlfn.IFS(A1286&lt;30,"Young",A1286&lt;=50,"Adult",A1286&gt;50,"Senior")</f>
        <v>Senior</v>
      </c>
    </row>
    <row r="1287" spans="1:13" x14ac:dyDescent="0.3">
      <c r="A1287">
        <v>47</v>
      </c>
      <c r="B1287" t="s">
        <v>11</v>
      </c>
      <c r="C1287">
        <v>24.32</v>
      </c>
      <c r="D1287">
        <v>0</v>
      </c>
      <c r="E1287" t="s">
        <v>19</v>
      </c>
      <c r="F1287" t="s">
        <v>9</v>
      </c>
      <c r="G1287">
        <v>8534.6718000000001</v>
      </c>
      <c r="H1287">
        <v>127.4</v>
      </c>
      <c r="I1287" t="s">
        <v>3</v>
      </c>
      <c r="J1287" t="b">
        <v>0</v>
      </c>
      <c r="K1287" t="s">
        <v>15</v>
      </c>
      <c r="L1287">
        <v>106521.66</v>
      </c>
      <c r="M1287" t="str" cm="1">
        <f t="array" ref="M1287">_xlfn.IFS(A1287&lt;30,"Young",A1287&lt;=50,"Adult",A1287&gt;50,"Senior")</f>
        <v>Adult</v>
      </c>
    </row>
    <row r="1288" spans="1:13" x14ac:dyDescent="0.3">
      <c r="A1288">
        <v>28</v>
      </c>
      <c r="B1288" t="s">
        <v>11</v>
      </c>
      <c r="C1288">
        <v>17.29</v>
      </c>
      <c r="D1288">
        <v>0</v>
      </c>
      <c r="E1288" t="s">
        <v>19</v>
      </c>
      <c r="F1288" t="s">
        <v>9</v>
      </c>
      <c r="G1288">
        <v>3732.6251000000002</v>
      </c>
      <c r="H1288">
        <v>126.1</v>
      </c>
      <c r="I1288" t="s">
        <v>1</v>
      </c>
      <c r="J1288" t="b">
        <v>1</v>
      </c>
      <c r="K1288" t="s">
        <v>15</v>
      </c>
      <c r="L1288">
        <v>33173.35</v>
      </c>
      <c r="M1288" t="str" cm="1">
        <f t="array" ref="M1288">_xlfn.IFS(A1288&lt;30,"Young",A1288&lt;=50,"Adult",A1288&gt;50,"Senior")</f>
        <v>Young</v>
      </c>
    </row>
    <row r="1289" spans="1:13" x14ac:dyDescent="0.3">
      <c r="A1289">
        <v>36</v>
      </c>
      <c r="B1289" t="s">
        <v>11</v>
      </c>
      <c r="C1289">
        <v>25.9</v>
      </c>
      <c r="D1289">
        <v>1</v>
      </c>
      <c r="E1289" t="s">
        <v>19</v>
      </c>
      <c r="F1289" t="s">
        <v>6</v>
      </c>
      <c r="G1289">
        <v>5472.4489999999996</v>
      </c>
      <c r="H1289">
        <v>120.9</v>
      </c>
      <c r="I1289" t="s">
        <v>1</v>
      </c>
      <c r="J1289" t="b">
        <v>0</v>
      </c>
      <c r="K1289" t="s">
        <v>15</v>
      </c>
      <c r="L1289">
        <v>183777.28</v>
      </c>
      <c r="M1289" t="str" cm="1">
        <f t="array" ref="M1289">_xlfn.IFS(A1289&lt;30,"Young",A1289&lt;=50,"Adult",A1289&gt;50,"Senior")</f>
        <v>Adult</v>
      </c>
    </row>
    <row r="1290" spans="1:13" x14ac:dyDescent="0.3">
      <c r="A1290">
        <v>20</v>
      </c>
      <c r="B1290" t="s">
        <v>12</v>
      </c>
      <c r="C1290">
        <v>39.4</v>
      </c>
      <c r="D1290">
        <v>2</v>
      </c>
      <c r="E1290" t="s">
        <v>18</v>
      </c>
      <c r="F1290" t="s">
        <v>6</v>
      </c>
      <c r="G1290">
        <v>38344.565999999999</v>
      </c>
      <c r="H1290">
        <v>125.2</v>
      </c>
      <c r="I1290" t="s">
        <v>2</v>
      </c>
      <c r="J1290" t="b">
        <v>0</v>
      </c>
      <c r="K1290" t="s">
        <v>15</v>
      </c>
      <c r="L1290">
        <v>103243.95</v>
      </c>
      <c r="M1290" t="str" cm="1">
        <f t="array" ref="M1290">_xlfn.IFS(A1290&lt;30,"Young",A1290&lt;=50,"Adult",A1290&gt;50,"Senior")</f>
        <v>Young</v>
      </c>
    </row>
    <row r="1291" spans="1:13" x14ac:dyDescent="0.3">
      <c r="A1291">
        <v>44</v>
      </c>
      <c r="B1291" t="s">
        <v>12</v>
      </c>
      <c r="C1291">
        <v>34.32</v>
      </c>
      <c r="D1291">
        <v>1</v>
      </c>
      <c r="E1291" t="s">
        <v>19</v>
      </c>
      <c r="F1291" t="s">
        <v>7</v>
      </c>
      <c r="G1291">
        <v>7147.4727999999996</v>
      </c>
      <c r="H1291">
        <v>117.2</v>
      </c>
      <c r="I1291" t="s">
        <v>2</v>
      </c>
      <c r="J1291" t="b">
        <v>1</v>
      </c>
      <c r="K1291" t="s">
        <v>14</v>
      </c>
      <c r="L1291">
        <v>75454.929999999993</v>
      </c>
      <c r="M1291" t="str" cm="1">
        <f t="array" ref="M1291">_xlfn.IFS(A1291&lt;30,"Young",A1291&lt;=50,"Adult",A1291&gt;50,"Senior")</f>
        <v>Adult</v>
      </c>
    </row>
    <row r="1292" spans="1:13" x14ac:dyDescent="0.3">
      <c r="A1292">
        <v>38</v>
      </c>
      <c r="B1292" t="s">
        <v>11</v>
      </c>
      <c r="C1292">
        <v>19.95</v>
      </c>
      <c r="D1292">
        <v>2</v>
      </c>
      <c r="E1292" t="s">
        <v>19</v>
      </c>
      <c r="F1292" t="s">
        <v>9</v>
      </c>
      <c r="G1292">
        <v>7133.9025000000001</v>
      </c>
      <c r="H1292">
        <v>111.3</v>
      </c>
      <c r="I1292" t="s">
        <v>1</v>
      </c>
      <c r="J1292" t="b">
        <v>0</v>
      </c>
      <c r="K1292" t="s">
        <v>16</v>
      </c>
      <c r="L1292">
        <v>180574.26</v>
      </c>
      <c r="M1292" t="str" cm="1">
        <f t="array" ref="M1292">_xlfn.IFS(A1292&lt;30,"Young",A1292&lt;=50,"Adult",A1292&gt;50,"Senior")</f>
        <v>Adult</v>
      </c>
    </row>
    <row r="1293" spans="1:13" x14ac:dyDescent="0.3">
      <c r="A1293">
        <v>19</v>
      </c>
      <c r="B1293" t="s">
        <v>12</v>
      </c>
      <c r="C1293">
        <v>34.9</v>
      </c>
      <c r="D1293">
        <v>0</v>
      </c>
      <c r="E1293" t="s">
        <v>18</v>
      </c>
      <c r="F1293" t="s">
        <v>6</v>
      </c>
      <c r="G1293">
        <v>34828.654000000002</v>
      </c>
      <c r="H1293">
        <v>114.3</v>
      </c>
      <c r="I1293" t="s">
        <v>3</v>
      </c>
      <c r="J1293" t="b">
        <v>1</v>
      </c>
      <c r="K1293" t="s">
        <v>14</v>
      </c>
      <c r="L1293">
        <v>157998.29999999999</v>
      </c>
      <c r="M1293" t="str" cm="1">
        <f t="array" ref="M1293">_xlfn.IFS(A1293&lt;30,"Young",A1293&lt;=50,"Adult",A1293&gt;50,"Senior")</f>
        <v>Young</v>
      </c>
    </row>
    <row r="1294" spans="1:13" x14ac:dyDescent="0.3">
      <c r="A1294">
        <v>21</v>
      </c>
      <c r="B1294" t="s">
        <v>12</v>
      </c>
      <c r="C1294">
        <v>23.21</v>
      </c>
      <c r="D1294">
        <v>0</v>
      </c>
      <c r="E1294" t="s">
        <v>19</v>
      </c>
      <c r="F1294" t="s">
        <v>7</v>
      </c>
      <c r="G1294">
        <v>1515.3449000000001</v>
      </c>
      <c r="H1294">
        <v>121.6</v>
      </c>
      <c r="I1294" t="s">
        <v>1</v>
      </c>
      <c r="J1294" t="b">
        <v>0</v>
      </c>
      <c r="K1294" t="s">
        <v>15</v>
      </c>
      <c r="L1294">
        <v>151387.93</v>
      </c>
      <c r="M1294" t="str" cm="1">
        <f t="array" ref="M1294">_xlfn.IFS(A1294&lt;30,"Young",A1294&lt;=50,"Adult",A1294&gt;50,"Senior")</f>
        <v>Young</v>
      </c>
    </row>
    <row r="1295" spans="1:13" x14ac:dyDescent="0.3">
      <c r="A1295">
        <v>46</v>
      </c>
      <c r="B1295" t="s">
        <v>12</v>
      </c>
      <c r="C1295">
        <v>25.745000000000001</v>
      </c>
      <c r="D1295">
        <v>3</v>
      </c>
      <c r="E1295" t="s">
        <v>19</v>
      </c>
      <c r="F1295" t="s">
        <v>8</v>
      </c>
      <c r="G1295">
        <v>9301.8935500000007</v>
      </c>
      <c r="H1295">
        <v>137.9</v>
      </c>
      <c r="I1295" t="s">
        <v>1</v>
      </c>
      <c r="J1295" t="b">
        <v>1</v>
      </c>
      <c r="K1295" t="s">
        <v>15</v>
      </c>
      <c r="L1295">
        <v>150974.35</v>
      </c>
      <c r="M1295" t="str" cm="1">
        <f t="array" ref="M1295">_xlfn.IFS(A1295&lt;30,"Young",A1295&lt;=50,"Adult",A1295&gt;50,"Senior")</f>
        <v>Adult</v>
      </c>
    </row>
    <row r="1296" spans="1:13" x14ac:dyDescent="0.3">
      <c r="A1296">
        <v>58</v>
      </c>
      <c r="B1296" t="s">
        <v>12</v>
      </c>
      <c r="C1296">
        <v>25.175000000000001</v>
      </c>
      <c r="D1296">
        <v>0</v>
      </c>
      <c r="E1296" t="s">
        <v>19</v>
      </c>
      <c r="F1296" t="s">
        <v>9</v>
      </c>
      <c r="G1296">
        <v>11931.125249999999</v>
      </c>
      <c r="H1296">
        <v>118.4</v>
      </c>
      <c r="I1296" t="s">
        <v>1</v>
      </c>
      <c r="J1296" t="b">
        <v>1</v>
      </c>
      <c r="K1296" t="s">
        <v>16</v>
      </c>
      <c r="L1296">
        <v>82990.06</v>
      </c>
      <c r="M1296" t="str" cm="1">
        <f t="array" ref="M1296">_xlfn.IFS(A1296&lt;30,"Young",A1296&lt;=50,"Adult",A1296&gt;50,"Senior")</f>
        <v>Senior</v>
      </c>
    </row>
    <row r="1297" spans="1:13" x14ac:dyDescent="0.3">
      <c r="A1297">
        <v>20</v>
      </c>
      <c r="B1297" t="s">
        <v>12</v>
      </c>
      <c r="C1297">
        <v>22</v>
      </c>
      <c r="D1297">
        <v>1</v>
      </c>
      <c r="E1297" t="s">
        <v>19</v>
      </c>
      <c r="F1297" t="s">
        <v>6</v>
      </c>
      <c r="G1297">
        <v>1964.78</v>
      </c>
      <c r="H1297">
        <v>127.1</v>
      </c>
      <c r="I1297" t="s">
        <v>3</v>
      </c>
      <c r="J1297" t="b">
        <v>0</v>
      </c>
      <c r="K1297" t="s">
        <v>14</v>
      </c>
      <c r="L1297">
        <v>122266.63</v>
      </c>
      <c r="M1297" t="str" cm="1">
        <f t="array" ref="M1297">_xlfn.IFS(A1297&lt;30,"Young",A1297&lt;=50,"Adult",A1297&gt;50,"Senior")</f>
        <v>Young</v>
      </c>
    </row>
    <row r="1298" spans="1:13" x14ac:dyDescent="0.3">
      <c r="A1298">
        <v>18</v>
      </c>
      <c r="B1298" t="s">
        <v>12</v>
      </c>
      <c r="C1298">
        <v>26.125</v>
      </c>
      <c r="D1298">
        <v>0</v>
      </c>
      <c r="E1298" t="s">
        <v>19</v>
      </c>
      <c r="F1298" t="s">
        <v>9</v>
      </c>
      <c r="G1298">
        <v>1708.9257500000001</v>
      </c>
      <c r="H1298">
        <v>125.5</v>
      </c>
      <c r="I1298" t="s">
        <v>0</v>
      </c>
      <c r="J1298" t="b">
        <v>0</v>
      </c>
      <c r="K1298" t="s">
        <v>16</v>
      </c>
      <c r="L1298">
        <v>37646.74</v>
      </c>
      <c r="M1298" t="str" cm="1">
        <f t="array" ref="M1298">_xlfn.IFS(A1298&lt;30,"Young",A1298&lt;=50,"Adult",A1298&gt;50,"Senior")</f>
        <v>Young</v>
      </c>
    </row>
    <row r="1299" spans="1:13" x14ac:dyDescent="0.3">
      <c r="A1299">
        <v>28</v>
      </c>
      <c r="B1299" t="s">
        <v>11</v>
      </c>
      <c r="C1299">
        <v>26.51</v>
      </c>
      <c r="D1299">
        <v>2</v>
      </c>
      <c r="E1299" t="s">
        <v>19</v>
      </c>
      <c r="F1299" t="s">
        <v>7</v>
      </c>
      <c r="G1299">
        <v>4340.4408999999996</v>
      </c>
      <c r="H1299">
        <v>117.7</v>
      </c>
      <c r="I1299" t="s">
        <v>2</v>
      </c>
      <c r="J1299" t="b">
        <v>1</v>
      </c>
      <c r="K1299" t="s">
        <v>14</v>
      </c>
      <c r="L1299">
        <v>164099.75</v>
      </c>
      <c r="M1299" t="str" cm="1">
        <f t="array" ref="M1299">_xlfn.IFS(A1299&lt;30,"Young",A1299&lt;=50,"Adult",A1299&gt;50,"Senior")</f>
        <v>Young</v>
      </c>
    </row>
    <row r="1300" spans="1:13" x14ac:dyDescent="0.3">
      <c r="A1300">
        <v>33</v>
      </c>
      <c r="B1300" t="s">
        <v>12</v>
      </c>
      <c r="C1300">
        <v>27.454999999999998</v>
      </c>
      <c r="D1300">
        <v>2</v>
      </c>
      <c r="E1300" t="s">
        <v>19</v>
      </c>
      <c r="F1300" t="s">
        <v>8</v>
      </c>
      <c r="G1300">
        <v>5261.4694499999996</v>
      </c>
      <c r="H1300">
        <v>124.9</v>
      </c>
      <c r="I1300" t="s">
        <v>3</v>
      </c>
      <c r="J1300" t="b">
        <v>0</v>
      </c>
      <c r="K1300" t="s">
        <v>15</v>
      </c>
      <c r="L1300">
        <v>138480.99</v>
      </c>
      <c r="M1300" t="str" cm="1">
        <f t="array" ref="M1300">_xlfn.IFS(A1300&lt;30,"Young",A1300&lt;=50,"Adult",A1300&gt;50,"Senior")</f>
        <v>Adult</v>
      </c>
    </row>
    <row r="1301" spans="1:13" x14ac:dyDescent="0.3">
      <c r="A1301">
        <v>19</v>
      </c>
      <c r="B1301" t="s">
        <v>11</v>
      </c>
      <c r="C1301">
        <v>25.745000000000001</v>
      </c>
      <c r="D1301">
        <v>1</v>
      </c>
      <c r="E1301" t="s">
        <v>19</v>
      </c>
      <c r="F1301" t="s">
        <v>8</v>
      </c>
      <c r="G1301">
        <v>2710.8285500000002</v>
      </c>
      <c r="H1301">
        <v>127.4</v>
      </c>
      <c r="I1301" t="s">
        <v>1</v>
      </c>
      <c r="J1301" t="b">
        <v>0</v>
      </c>
      <c r="K1301" t="s">
        <v>16</v>
      </c>
      <c r="L1301">
        <v>102801.39</v>
      </c>
      <c r="M1301" t="str" cm="1">
        <f t="array" ref="M1301">_xlfn.IFS(A1301&lt;30,"Young",A1301&lt;=50,"Adult",A1301&gt;50,"Senior")</f>
        <v>Young</v>
      </c>
    </row>
    <row r="1302" spans="1:13" x14ac:dyDescent="0.3">
      <c r="A1302">
        <v>45</v>
      </c>
      <c r="B1302" t="s">
        <v>12</v>
      </c>
      <c r="C1302">
        <v>30.36</v>
      </c>
      <c r="D1302">
        <v>0</v>
      </c>
      <c r="E1302" t="s">
        <v>18</v>
      </c>
      <c r="F1302" t="s">
        <v>7</v>
      </c>
      <c r="G1302">
        <v>62592.873090000001</v>
      </c>
      <c r="H1302">
        <v>113.1</v>
      </c>
      <c r="I1302" t="s">
        <v>3</v>
      </c>
      <c r="J1302" t="b">
        <v>0</v>
      </c>
      <c r="K1302" t="s">
        <v>15</v>
      </c>
      <c r="L1302">
        <v>123523.36</v>
      </c>
      <c r="M1302" t="str" cm="1">
        <f t="array" ref="M1302">_xlfn.IFS(A1302&lt;30,"Young",A1302&lt;=50,"Adult",A1302&gt;50,"Senior")</f>
        <v>Adult</v>
      </c>
    </row>
    <row r="1303" spans="1:13" x14ac:dyDescent="0.3">
      <c r="A1303">
        <v>62</v>
      </c>
      <c r="B1303" t="s">
        <v>12</v>
      </c>
      <c r="C1303">
        <v>30.875</v>
      </c>
      <c r="D1303">
        <v>3</v>
      </c>
      <c r="E1303" t="s">
        <v>18</v>
      </c>
      <c r="F1303" t="s">
        <v>8</v>
      </c>
      <c r="G1303">
        <v>46718.163249999998</v>
      </c>
      <c r="H1303">
        <v>122.6</v>
      </c>
      <c r="I1303" t="s">
        <v>1</v>
      </c>
      <c r="J1303" t="b">
        <v>1</v>
      </c>
      <c r="K1303" t="s">
        <v>15</v>
      </c>
      <c r="L1303">
        <v>63004.84</v>
      </c>
      <c r="M1303" t="str" cm="1">
        <f t="array" ref="M1303">_xlfn.IFS(A1303&lt;30,"Young",A1303&lt;=50,"Adult",A1303&gt;50,"Senior")</f>
        <v>Senior</v>
      </c>
    </row>
    <row r="1304" spans="1:13" x14ac:dyDescent="0.3">
      <c r="A1304">
        <v>25</v>
      </c>
      <c r="B1304" t="s">
        <v>11</v>
      </c>
      <c r="C1304">
        <v>20.8</v>
      </c>
      <c r="D1304">
        <v>1</v>
      </c>
      <c r="E1304" t="s">
        <v>19</v>
      </c>
      <c r="F1304" t="s">
        <v>6</v>
      </c>
      <c r="G1304">
        <v>3208.7869999999998</v>
      </c>
      <c r="H1304">
        <v>131.4</v>
      </c>
      <c r="I1304" t="s">
        <v>0</v>
      </c>
      <c r="J1304" t="b">
        <v>0</v>
      </c>
      <c r="K1304" t="s">
        <v>16</v>
      </c>
      <c r="L1304">
        <v>108267.33</v>
      </c>
      <c r="M1304" t="str" cm="1">
        <f t="array" ref="M1304">_xlfn.IFS(A1304&lt;30,"Young",A1304&lt;=50,"Adult",A1304&gt;50,"Senior")</f>
        <v>Young</v>
      </c>
    </row>
    <row r="1305" spans="1:13" x14ac:dyDescent="0.3">
      <c r="A1305">
        <v>43</v>
      </c>
      <c r="B1305" t="s">
        <v>12</v>
      </c>
      <c r="C1305">
        <v>27.8</v>
      </c>
      <c r="D1305">
        <v>0</v>
      </c>
      <c r="E1305" t="s">
        <v>18</v>
      </c>
      <c r="F1305" t="s">
        <v>6</v>
      </c>
      <c r="G1305">
        <v>37829.724199999997</v>
      </c>
      <c r="H1305">
        <v>119.1</v>
      </c>
      <c r="I1305" t="s">
        <v>1</v>
      </c>
      <c r="J1305" t="b">
        <v>1</v>
      </c>
      <c r="K1305" t="s">
        <v>16</v>
      </c>
      <c r="L1305">
        <v>154960.82999999999</v>
      </c>
      <c r="M1305" t="str" cm="1">
        <f t="array" ref="M1305">_xlfn.IFS(A1305&lt;30,"Young",A1305&lt;=50,"Adult",A1305&gt;50,"Senior")</f>
        <v>Adult</v>
      </c>
    </row>
    <row r="1306" spans="1:13" x14ac:dyDescent="0.3">
      <c r="A1306">
        <v>42</v>
      </c>
      <c r="B1306" t="s">
        <v>12</v>
      </c>
      <c r="C1306">
        <v>24.605</v>
      </c>
      <c r="D1306">
        <v>2</v>
      </c>
      <c r="E1306" t="s">
        <v>18</v>
      </c>
      <c r="F1306" t="s">
        <v>9</v>
      </c>
      <c r="G1306">
        <v>21259.377949999998</v>
      </c>
      <c r="H1306">
        <v>131.19999999999999</v>
      </c>
      <c r="I1306" t="s">
        <v>3</v>
      </c>
      <c r="J1306" t="b">
        <v>1</v>
      </c>
      <c r="K1306" t="s">
        <v>14</v>
      </c>
      <c r="L1306">
        <v>54857.11</v>
      </c>
      <c r="M1306" t="str" cm="1">
        <f t="array" ref="M1306">_xlfn.IFS(A1306&lt;30,"Young",A1306&lt;=50,"Adult",A1306&gt;50,"Senior")</f>
        <v>Adult</v>
      </c>
    </row>
    <row r="1307" spans="1:13" x14ac:dyDescent="0.3">
      <c r="A1307">
        <v>24</v>
      </c>
      <c r="B1307" t="s">
        <v>11</v>
      </c>
      <c r="C1307">
        <v>27.72</v>
      </c>
      <c r="D1307">
        <v>0</v>
      </c>
      <c r="E1307" t="s">
        <v>19</v>
      </c>
      <c r="F1307" t="s">
        <v>7</v>
      </c>
      <c r="G1307">
        <v>2464.6188000000002</v>
      </c>
      <c r="H1307">
        <v>133.19999999999999</v>
      </c>
      <c r="I1307" t="s">
        <v>2</v>
      </c>
      <c r="J1307" t="b">
        <v>1</v>
      </c>
      <c r="K1307" t="s">
        <v>15</v>
      </c>
      <c r="L1307">
        <v>158707.18</v>
      </c>
      <c r="M1307" t="str" cm="1">
        <f t="array" ref="M1307">_xlfn.IFS(A1307&lt;30,"Young",A1307&lt;=50,"Adult",A1307&gt;50,"Senior")</f>
        <v>Young</v>
      </c>
    </row>
    <row r="1308" spans="1:13" x14ac:dyDescent="0.3">
      <c r="A1308">
        <v>29</v>
      </c>
      <c r="B1308" t="s">
        <v>11</v>
      </c>
      <c r="C1308">
        <v>21.85</v>
      </c>
      <c r="D1308">
        <v>0</v>
      </c>
      <c r="E1308" t="s">
        <v>18</v>
      </c>
      <c r="F1308" t="s">
        <v>9</v>
      </c>
      <c r="G1308">
        <v>16115.3045</v>
      </c>
      <c r="H1308">
        <v>138.4</v>
      </c>
      <c r="I1308" t="s">
        <v>1</v>
      </c>
      <c r="J1308" t="b">
        <v>1</v>
      </c>
      <c r="K1308" t="s">
        <v>14</v>
      </c>
      <c r="L1308">
        <v>45328.74</v>
      </c>
      <c r="M1308" t="str" cm="1">
        <f t="array" ref="M1308">_xlfn.IFS(A1308&lt;30,"Young",A1308&lt;=50,"Adult",A1308&gt;50,"Senior")</f>
        <v>Young</v>
      </c>
    </row>
    <row r="1309" spans="1:13" x14ac:dyDescent="0.3">
      <c r="A1309">
        <v>32</v>
      </c>
      <c r="B1309" t="s">
        <v>12</v>
      </c>
      <c r="C1309">
        <v>28.12</v>
      </c>
      <c r="D1309">
        <v>4</v>
      </c>
      <c r="E1309" t="s">
        <v>18</v>
      </c>
      <c r="F1309" t="s">
        <v>8</v>
      </c>
      <c r="G1309">
        <v>21472.478800000001</v>
      </c>
      <c r="H1309">
        <v>111.1</v>
      </c>
      <c r="I1309" t="s">
        <v>3</v>
      </c>
      <c r="J1309" t="b">
        <v>1</v>
      </c>
      <c r="K1309" t="s">
        <v>15</v>
      </c>
      <c r="L1309">
        <v>57676.33</v>
      </c>
      <c r="M1309" t="str" cm="1">
        <f t="array" ref="M1309">_xlfn.IFS(A1309&lt;30,"Young",A1309&lt;=50,"Adult",A1309&gt;50,"Senior")</f>
        <v>Adult</v>
      </c>
    </row>
    <row r="1310" spans="1:13" x14ac:dyDescent="0.3">
      <c r="A1310">
        <v>25</v>
      </c>
      <c r="B1310" t="s">
        <v>11</v>
      </c>
      <c r="C1310">
        <v>30.2</v>
      </c>
      <c r="D1310">
        <v>0</v>
      </c>
      <c r="E1310" t="s">
        <v>18</v>
      </c>
      <c r="F1310" t="s">
        <v>6</v>
      </c>
      <c r="G1310">
        <v>33900.652999999998</v>
      </c>
      <c r="H1310">
        <v>129.69999999999999</v>
      </c>
      <c r="I1310" t="s">
        <v>0</v>
      </c>
      <c r="J1310" t="b">
        <v>0</v>
      </c>
      <c r="K1310" t="s">
        <v>14</v>
      </c>
      <c r="L1310">
        <v>79557.25</v>
      </c>
      <c r="M1310" t="str" cm="1">
        <f t="array" ref="M1310">_xlfn.IFS(A1310&lt;30,"Young",A1310&lt;=50,"Adult",A1310&gt;50,"Senior")</f>
        <v>Young</v>
      </c>
    </row>
    <row r="1311" spans="1:13" x14ac:dyDescent="0.3">
      <c r="A1311">
        <v>41</v>
      </c>
      <c r="B1311" t="s">
        <v>12</v>
      </c>
      <c r="C1311">
        <v>32.200000000000003</v>
      </c>
      <c r="D1311">
        <v>2</v>
      </c>
      <c r="E1311" t="s">
        <v>19</v>
      </c>
      <c r="F1311" t="s">
        <v>6</v>
      </c>
      <c r="G1311">
        <v>6875.9610000000002</v>
      </c>
      <c r="H1311">
        <v>139.30000000000001</v>
      </c>
      <c r="I1311" t="s">
        <v>0</v>
      </c>
      <c r="J1311" t="b">
        <v>1</v>
      </c>
      <c r="K1311" t="s">
        <v>15</v>
      </c>
      <c r="L1311">
        <v>33841.33</v>
      </c>
      <c r="M1311" t="str" cm="1">
        <f t="array" ref="M1311">_xlfn.IFS(A1311&lt;30,"Young",A1311&lt;=50,"Adult",A1311&gt;50,"Senior")</f>
        <v>Adult</v>
      </c>
    </row>
    <row r="1312" spans="1:13" x14ac:dyDescent="0.3">
      <c r="A1312">
        <v>42</v>
      </c>
      <c r="B1312" t="s">
        <v>12</v>
      </c>
      <c r="C1312">
        <v>26.315000000000001</v>
      </c>
      <c r="D1312">
        <v>1</v>
      </c>
      <c r="E1312" t="s">
        <v>19</v>
      </c>
      <c r="F1312" t="s">
        <v>8</v>
      </c>
      <c r="G1312">
        <v>6940.90985</v>
      </c>
      <c r="H1312">
        <v>138.4</v>
      </c>
      <c r="I1312" t="s">
        <v>3</v>
      </c>
      <c r="J1312" t="b">
        <v>1</v>
      </c>
      <c r="K1312" t="s">
        <v>15</v>
      </c>
      <c r="L1312">
        <v>64060.23</v>
      </c>
      <c r="M1312" t="str" cm="1">
        <f t="array" ref="M1312">_xlfn.IFS(A1312&lt;30,"Young",A1312&lt;=50,"Adult",A1312&gt;50,"Senior")</f>
        <v>Adult</v>
      </c>
    </row>
    <row r="1313" spans="1:13" x14ac:dyDescent="0.3">
      <c r="A1313">
        <v>33</v>
      </c>
      <c r="B1313" t="s">
        <v>11</v>
      </c>
      <c r="C1313">
        <v>26.695</v>
      </c>
      <c r="D1313">
        <v>0</v>
      </c>
      <c r="E1313" t="s">
        <v>19</v>
      </c>
      <c r="F1313" t="s">
        <v>8</v>
      </c>
      <c r="G1313">
        <v>4571.4130500000001</v>
      </c>
      <c r="H1313">
        <v>117.8</v>
      </c>
      <c r="I1313" t="s">
        <v>3</v>
      </c>
      <c r="J1313" t="b">
        <v>1</v>
      </c>
      <c r="K1313" t="s">
        <v>16</v>
      </c>
      <c r="L1313">
        <v>167718.85999999999</v>
      </c>
      <c r="M1313" t="str" cm="1">
        <f t="array" ref="M1313">_xlfn.IFS(A1313&lt;30,"Young",A1313&lt;=50,"Adult",A1313&gt;50,"Senior")</f>
        <v>Adult</v>
      </c>
    </row>
    <row r="1314" spans="1:13" x14ac:dyDescent="0.3">
      <c r="A1314">
        <v>34</v>
      </c>
      <c r="B1314" t="s">
        <v>12</v>
      </c>
      <c r="C1314">
        <v>42.9</v>
      </c>
      <c r="D1314">
        <v>1</v>
      </c>
      <c r="E1314" t="s">
        <v>19</v>
      </c>
      <c r="F1314" t="s">
        <v>6</v>
      </c>
      <c r="G1314">
        <v>4536.259</v>
      </c>
      <c r="H1314">
        <v>116.6</v>
      </c>
      <c r="I1314" t="s">
        <v>1</v>
      </c>
      <c r="J1314" t="b">
        <v>1</v>
      </c>
      <c r="K1314" t="s">
        <v>16</v>
      </c>
      <c r="L1314">
        <v>115356.99</v>
      </c>
      <c r="M1314" t="str" cm="1">
        <f t="array" ref="M1314">_xlfn.IFS(A1314&lt;30,"Young",A1314&lt;=50,"Adult",A1314&gt;50,"Senior")</f>
        <v>Adult</v>
      </c>
    </row>
    <row r="1315" spans="1:13" x14ac:dyDescent="0.3">
      <c r="A1315">
        <v>19</v>
      </c>
      <c r="B1315" t="s">
        <v>11</v>
      </c>
      <c r="C1315">
        <v>34.700000000000003</v>
      </c>
      <c r="D1315">
        <v>2</v>
      </c>
      <c r="E1315" t="s">
        <v>18</v>
      </c>
      <c r="F1315" t="s">
        <v>6</v>
      </c>
      <c r="G1315">
        <v>36397.576000000001</v>
      </c>
      <c r="H1315">
        <v>111.6</v>
      </c>
      <c r="I1315" t="s">
        <v>1</v>
      </c>
      <c r="J1315" t="b">
        <v>1</v>
      </c>
      <c r="K1315" t="s">
        <v>14</v>
      </c>
      <c r="L1315">
        <v>175193.49</v>
      </c>
      <c r="M1315" t="str" cm="1">
        <f t="array" ref="M1315">_xlfn.IFS(A1315&lt;30,"Young",A1315&lt;=50,"Adult",A1315&gt;50,"Senior")</f>
        <v>Young</v>
      </c>
    </row>
    <row r="1316" spans="1:13" x14ac:dyDescent="0.3">
      <c r="A1316">
        <v>30</v>
      </c>
      <c r="B1316" t="s">
        <v>11</v>
      </c>
      <c r="C1316">
        <v>23.655000000000001</v>
      </c>
      <c r="D1316">
        <v>3</v>
      </c>
      <c r="E1316" t="s">
        <v>18</v>
      </c>
      <c r="F1316" t="s">
        <v>8</v>
      </c>
      <c r="G1316">
        <v>18765.87545</v>
      </c>
      <c r="H1316">
        <v>121.2</v>
      </c>
      <c r="I1316" t="s">
        <v>3</v>
      </c>
      <c r="J1316" t="b">
        <v>1</v>
      </c>
      <c r="K1316" t="s">
        <v>15</v>
      </c>
      <c r="L1316">
        <v>86426.27</v>
      </c>
      <c r="M1316" t="str" cm="1">
        <f t="array" ref="M1316">_xlfn.IFS(A1316&lt;30,"Young",A1316&lt;=50,"Adult",A1316&gt;50,"Senior")</f>
        <v>Adult</v>
      </c>
    </row>
    <row r="1317" spans="1:13" x14ac:dyDescent="0.3">
      <c r="A1317">
        <v>18</v>
      </c>
      <c r="B1317" t="s">
        <v>12</v>
      </c>
      <c r="C1317">
        <v>28.31</v>
      </c>
      <c r="D1317">
        <v>1</v>
      </c>
      <c r="E1317" t="s">
        <v>19</v>
      </c>
      <c r="F1317" t="s">
        <v>9</v>
      </c>
      <c r="G1317">
        <v>11272.331389999999</v>
      </c>
      <c r="H1317">
        <v>112</v>
      </c>
      <c r="I1317" t="s">
        <v>3</v>
      </c>
      <c r="J1317" t="b">
        <v>0</v>
      </c>
      <c r="K1317" t="s">
        <v>16</v>
      </c>
      <c r="L1317">
        <v>154096.24</v>
      </c>
      <c r="M1317" t="str" cm="1">
        <f t="array" ref="M1317">_xlfn.IFS(A1317&lt;30,"Young",A1317&lt;=50,"Adult",A1317&gt;50,"Senior")</f>
        <v>Young</v>
      </c>
    </row>
    <row r="1318" spans="1:13" x14ac:dyDescent="0.3">
      <c r="A1318">
        <v>19</v>
      </c>
      <c r="B1318" t="s">
        <v>11</v>
      </c>
      <c r="C1318">
        <v>20.6</v>
      </c>
      <c r="D1318">
        <v>0</v>
      </c>
      <c r="E1318" t="s">
        <v>19</v>
      </c>
      <c r="F1318" t="s">
        <v>6</v>
      </c>
      <c r="G1318">
        <v>1731.6769999999999</v>
      </c>
      <c r="H1318">
        <v>111.3</v>
      </c>
      <c r="I1318" t="s">
        <v>0</v>
      </c>
      <c r="J1318" t="b">
        <v>0</v>
      </c>
      <c r="K1318" t="s">
        <v>16</v>
      </c>
      <c r="L1318">
        <v>188071.89</v>
      </c>
      <c r="M1318" t="str" cm="1">
        <f t="array" ref="M1318">_xlfn.IFS(A1318&lt;30,"Young",A1318&lt;=50,"Adult",A1318&gt;50,"Senior")</f>
        <v>Young</v>
      </c>
    </row>
    <row r="1319" spans="1:13" x14ac:dyDescent="0.3">
      <c r="A1319">
        <v>18</v>
      </c>
      <c r="B1319" t="s">
        <v>12</v>
      </c>
      <c r="C1319">
        <v>53.13</v>
      </c>
      <c r="D1319">
        <v>0</v>
      </c>
      <c r="E1319" t="s">
        <v>19</v>
      </c>
      <c r="F1319" t="s">
        <v>7</v>
      </c>
      <c r="G1319">
        <v>1163.4627</v>
      </c>
      <c r="H1319">
        <v>122.7</v>
      </c>
      <c r="I1319" t="s">
        <v>0</v>
      </c>
      <c r="J1319" t="b">
        <v>0</v>
      </c>
      <c r="K1319" t="s">
        <v>16</v>
      </c>
      <c r="L1319">
        <v>46351.05</v>
      </c>
      <c r="M1319" t="str" cm="1">
        <f t="array" ref="M1319">_xlfn.IFS(A1319&lt;30,"Young",A1319&lt;=50,"Adult",A1319&gt;50,"Senior")</f>
        <v>Young</v>
      </c>
    </row>
    <row r="1320" spans="1:13" x14ac:dyDescent="0.3">
      <c r="A1320">
        <v>35</v>
      </c>
      <c r="B1320" t="s">
        <v>12</v>
      </c>
      <c r="C1320">
        <v>39.71</v>
      </c>
      <c r="D1320">
        <v>4</v>
      </c>
      <c r="E1320" t="s">
        <v>19</v>
      </c>
      <c r="F1320" t="s">
        <v>9</v>
      </c>
      <c r="G1320">
        <v>19496.71917</v>
      </c>
      <c r="H1320">
        <v>123.2</v>
      </c>
      <c r="I1320" t="s">
        <v>1</v>
      </c>
      <c r="J1320" t="b">
        <v>1</v>
      </c>
      <c r="K1320" t="s">
        <v>15</v>
      </c>
      <c r="L1320">
        <v>62837.67</v>
      </c>
      <c r="M1320" t="str" cm="1">
        <f t="array" ref="M1320">_xlfn.IFS(A1320&lt;30,"Young",A1320&lt;=50,"Adult",A1320&gt;50,"Senior")</f>
        <v>Adult</v>
      </c>
    </row>
    <row r="1321" spans="1:13" x14ac:dyDescent="0.3">
      <c r="A1321">
        <v>39</v>
      </c>
      <c r="B1321" t="s">
        <v>11</v>
      </c>
      <c r="C1321">
        <v>26.315000000000001</v>
      </c>
      <c r="D1321">
        <v>2</v>
      </c>
      <c r="E1321" t="s">
        <v>19</v>
      </c>
      <c r="F1321" t="s">
        <v>8</v>
      </c>
      <c r="G1321">
        <v>7201.7008500000002</v>
      </c>
      <c r="H1321">
        <v>138.4</v>
      </c>
      <c r="I1321" t="s">
        <v>2</v>
      </c>
      <c r="J1321" t="b">
        <v>0</v>
      </c>
      <c r="K1321" t="s">
        <v>16</v>
      </c>
      <c r="L1321">
        <v>36486.910000000003</v>
      </c>
      <c r="M1321" t="str" cm="1">
        <f t="array" ref="M1321">_xlfn.IFS(A1321&lt;30,"Young",A1321&lt;=50,"Adult",A1321&gt;50,"Senior")</f>
        <v>Adult</v>
      </c>
    </row>
    <row r="1322" spans="1:13" x14ac:dyDescent="0.3">
      <c r="A1322">
        <v>31</v>
      </c>
      <c r="B1322" t="s">
        <v>12</v>
      </c>
      <c r="C1322">
        <v>31.065000000000001</v>
      </c>
      <c r="D1322">
        <v>3</v>
      </c>
      <c r="E1322" t="s">
        <v>19</v>
      </c>
      <c r="F1322" t="s">
        <v>8</v>
      </c>
      <c r="G1322">
        <v>5425.0233500000004</v>
      </c>
      <c r="H1322">
        <v>128.69999999999999</v>
      </c>
      <c r="I1322" t="s">
        <v>3</v>
      </c>
      <c r="J1322" t="b">
        <v>1</v>
      </c>
      <c r="K1322" t="s">
        <v>15</v>
      </c>
      <c r="L1322">
        <v>97371.68</v>
      </c>
      <c r="M1322" t="str" cm="1">
        <f t="array" ref="M1322">_xlfn.IFS(A1322&lt;30,"Young",A1322&lt;=50,"Adult",A1322&gt;50,"Senior")</f>
        <v>Adult</v>
      </c>
    </row>
    <row r="1323" spans="1:13" x14ac:dyDescent="0.3">
      <c r="A1323">
        <v>62</v>
      </c>
      <c r="B1323" t="s">
        <v>12</v>
      </c>
      <c r="C1323">
        <v>26.695</v>
      </c>
      <c r="D1323">
        <v>0</v>
      </c>
      <c r="E1323" t="s">
        <v>18</v>
      </c>
      <c r="F1323" t="s">
        <v>9</v>
      </c>
      <c r="G1323">
        <v>28101.333050000001</v>
      </c>
      <c r="H1323">
        <v>116.7</v>
      </c>
      <c r="I1323" t="s">
        <v>1</v>
      </c>
      <c r="J1323" t="b">
        <v>1</v>
      </c>
      <c r="K1323" t="s">
        <v>14</v>
      </c>
      <c r="L1323">
        <v>104204.04</v>
      </c>
      <c r="M1323" t="str" cm="1">
        <f t="array" ref="M1323">_xlfn.IFS(A1323&lt;30,"Young",A1323&lt;=50,"Adult",A1323&gt;50,"Senior")</f>
        <v>Senior</v>
      </c>
    </row>
    <row r="1324" spans="1:13" x14ac:dyDescent="0.3">
      <c r="A1324">
        <v>62</v>
      </c>
      <c r="B1324" t="s">
        <v>12</v>
      </c>
      <c r="C1324">
        <v>38.83</v>
      </c>
      <c r="D1324">
        <v>0</v>
      </c>
      <c r="E1324" t="s">
        <v>19</v>
      </c>
      <c r="F1324" t="s">
        <v>7</v>
      </c>
      <c r="G1324">
        <v>12981.3457</v>
      </c>
      <c r="H1324">
        <v>118.6</v>
      </c>
      <c r="I1324" t="s">
        <v>0</v>
      </c>
      <c r="J1324" t="b">
        <v>0</v>
      </c>
      <c r="K1324" t="s">
        <v>15</v>
      </c>
      <c r="L1324">
        <v>78867.259999999995</v>
      </c>
      <c r="M1324" t="str" cm="1">
        <f t="array" ref="M1324">_xlfn.IFS(A1324&lt;30,"Young",A1324&lt;=50,"Adult",A1324&gt;50,"Senior")</f>
        <v>Senior</v>
      </c>
    </row>
    <row r="1325" spans="1:13" x14ac:dyDescent="0.3">
      <c r="A1325">
        <v>42</v>
      </c>
      <c r="B1325" t="s">
        <v>11</v>
      </c>
      <c r="C1325">
        <v>40.369999999999997</v>
      </c>
      <c r="D1325">
        <v>2</v>
      </c>
      <c r="E1325" t="s">
        <v>18</v>
      </c>
      <c r="F1325" t="s">
        <v>7</v>
      </c>
      <c r="G1325">
        <v>43896.376300000004</v>
      </c>
      <c r="H1325">
        <v>126.6</v>
      </c>
      <c r="I1325" t="s">
        <v>3</v>
      </c>
      <c r="J1325" t="b">
        <v>1</v>
      </c>
      <c r="K1325" t="s">
        <v>16</v>
      </c>
      <c r="L1325">
        <v>91392.15</v>
      </c>
      <c r="M1325" t="str" cm="1">
        <f t="array" ref="M1325">_xlfn.IFS(A1325&lt;30,"Young",A1325&lt;=50,"Adult",A1325&gt;50,"Senior")</f>
        <v>Adult</v>
      </c>
    </row>
    <row r="1326" spans="1:13" x14ac:dyDescent="0.3">
      <c r="A1326">
        <v>31</v>
      </c>
      <c r="B1326" t="s">
        <v>12</v>
      </c>
      <c r="C1326">
        <v>25.934999999999999</v>
      </c>
      <c r="D1326">
        <v>1</v>
      </c>
      <c r="E1326" t="s">
        <v>19</v>
      </c>
      <c r="F1326" t="s">
        <v>8</v>
      </c>
      <c r="G1326">
        <v>4239.8926499999998</v>
      </c>
      <c r="H1326">
        <v>125.6</v>
      </c>
      <c r="I1326" t="s">
        <v>2</v>
      </c>
      <c r="J1326" t="b">
        <v>1</v>
      </c>
      <c r="K1326" t="s">
        <v>15</v>
      </c>
      <c r="L1326">
        <v>58835.74</v>
      </c>
      <c r="M1326" t="str" cm="1">
        <f t="array" ref="M1326">_xlfn.IFS(A1326&lt;30,"Young",A1326&lt;=50,"Adult",A1326&gt;50,"Senior")</f>
        <v>Adult</v>
      </c>
    </row>
    <row r="1327" spans="1:13" x14ac:dyDescent="0.3">
      <c r="A1327">
        <v>61</v>
      </c>
      <c r="B1327" t="s">
        <v>12</v>
      </c>
      <c r="C1327">
        <v>33.534999999999997</v>
      </c>
      <c r="D1327">
        <v>0</v>
      </c>
      <c r="E1327" t="s">
        <v>19</v>
      </c>
      <c r="F1327" t="s">
        <v>9</v>
      </c>
      <c r="G1327">
        <v>13143.336649999999</v>
      </c>
      <c r="H1327">
        <v>118.8</v>
      </c>
      <c r="I1327" t="s">
        <v>2</v>
      </c>
      <c r="J1327" t="b">
        <v>1</v>
      </c>
      <c r="K1327" t="s">
        <v>14</v>
      </c>
      <c r="L1327">
        <v>49431.16</v>
      </c>
      <c r="M1327" t="str" cm="1">
        <f t="array" ref="M1327">_xlfn.IFS(A1327&lt;30,"Young",A1327&lt;=50,"Adult",A1327&gt;50,"Senior")</f>
        <v>Senior</v>
      </c>
    </row>
    <row r="1328" spans="1:13" x14ac:dyDescent="0.3">
      <c r="A1328">
        <v>42</v>
      </c>
      <c r="B1328" t="s">
        <v>11</v>
      </c>
      <c r="C1328">
        <v>32.869999999999997</v>
      </c>
      <c r="D1328">
        <v>0</v>
      </c>
      <c r="E1328" t="s">
        <v>19</v>
      </c>
      <c r="F1328" t="s">
        <v>9</v>
      </c>
      <c r="G1328">
        <v>7050.0213000000003</v>
      </c>
      <c r="H1328">
        <v>134.19999999999999</v>
      </c>
      <c r="I1328" t="s">
        <v>2</v>
      </c>
      <c r="J1328" t="b">
        <v>1</v>
      </c>
      <c r="K1328" t="s">
        <v>15</v>
      </c>
      <c r="L1328">
        <v>126036.47</v>
      </c>
      <c r="M1328" t="str" cm="1">
        <f t="array" ref="M1328">_xlfn.IFS(A1328&lt;30,"Young",A1328&lt;=50,"Adult",A1328&gt;50,"Senior")</f>
        <v>Adult</v>
      </c>
    </row>
    <row r="1329" spans="1:13" x14ac:dyDescent="0.3">
      <c r="A1329">
        <v>51</v>
      </c>
      <c r="B1329" t="s">
        <v>12</v>
      </c>
      <c r="C1329">
        <v>30.03</v>
      </c>
      <c r="D1329">
        <v>1</v>
      </c>
      <c r="E1329" t="s">
        <v>19</v>
      </c>
      <c r="F1329" t="s">
        <v>7</v>
      </c>
      <c r="G1329">
        <v>9377.9046999999991</v>
      </c>
      <c r="H1329">
        <v>123.8</v>
      </c>
      <c r="I1329" t="s">
        <v>0</v>
      </c>
      <c r="J1329" t="b">
        <v>0</v>
      </c>
      <c r="K1329" t="s">
        <v>15</v>
      </c>
      <c r="L1329">
        <v>184702.55</v>
      </c>
      <c r="M1329" t="str" cm="1">
        <f t="array" ref="M1329">_xlfn.IFS(A1329&lt;30,"Young",A1329&lt;=50,"Adult",A1329&gt;50,"Senior")</f>
        <v>Senior</v>
      </c>
    </row>
    <row r="1330" spans="1:13" x14ac:dyDescent="0.3">
      <c r="A1330">
        <v>23</v>
      </c>
      <c r="B1330" t="s">
        <v>11</v>
      </c>
      <c r="C1330">
        <v>24.225000000000001</v>
      </c>
      <c r="D1330">
        <v>2</v>
      </c>
      <c r="E1330" t="s">
        <v>19</v>
      </c>
      <c r="F1330" t="s">
        <v>9</v>
      </c>
      <c r="G1330">
        <v>22395.74424</v>
      </c>
      <c r="H1330">
        <v>127.6</v>
      </c>
      <c r="I1330" t="s">
        <v>2</v>
      </c>
      <c r="J1330" t="b">
        <v>1</v>
      </c>
      <c r="K1330" t="s">
        <v>15</v>
      </c>
      <c r="L1330">
        <v>109793.16</v>
      </c>
      <c r="M1330" t="str" cm="1">
        <f t="array" ref="M1330">_xlfn.IFS(A1330&lt;30,"Young",A1330&lt;=50,"Adult",A1330&gt;50,"Senior")</f>
        <v>Young</v>
      </c>
    </row>
    <row r="1331" spans="1:13" x14ac:dyDescent="0.3">
      <c r="A1331">
        <v>52</v>
      </c>
      <c r="B1331" t="s">
        <v>12</v>
      </c>
      <c r="C1331">
        <v>38.6</v>
      </c>
      <c r="D1331">
        <v>2</v>
      </c>
      <c r="E1331" t="s">
        <v>19</v>
      </c>
      <c r="F1331" t="s">
        <v>6</v>
      </c>
      <c r="G1331">
        <v>10325.206</v>
      </c>
      <c r="H1331">
        <v>114.5</v>
      </c>
      <c r="I1331" t="s">
        <v>0</v>
      </c>
      <c r="J1331" t="b">
        <v>1</v>
      </c>
      <c r="K1331" t="s">
        <v>14</v>
      </c>
      <c r="L1331">
        <v>180625.94</v>
      </c>
      <c r="M1331" t="str" cm="1">
        <f t="array" ref="M1331">_xlfn.IFS(A1331&lt;30,"Young",A1331&lt;=50,"Adult",A1331&gt;50,"Senior")</f>
        <v>Senior</v>
      </c>
    </row>
    <row r="1332" spans="1:13" x14ac:dyDescent="0.3">
      <c r="A1332">
        <v>57</v>
      </c>
      <c r="B1332" t="s">
        <v>11</v>
      </c>
      <c r="C1332">
        <v>25.74</v>
      </c>
      <c r="D1332">
        <v>2</v>
      </c>
      <c r="E1332" t="s">
        <v>19</v>
      </c>
      <c r="F1332" t="s">
        <v>7</v>
      </c>
      <c r="G1332">
        <v>12629.1656</v>
      </c>
      <c r="H1332">
        <v>126.7</v>
      </c>
      <c r="I1332" t="s">
        <v>3</v>
      </c>
      <c r="J1332" t="b">
        <v>0</v>
      </c>
      <c r="K1332" t="s">
        <v>14</v>
      </c>
      <c r="L1332">
        <v>167927.29</v>
      </c>
      <c r="M1332" t="str" cm="1">
        <f t="array" ref="M1332">_xlfn.IFS(A1332&lt;30,"Young",A1332&lt;=50,"Adult",A1332&gt;50,"Senior")</f>
        <v>Senior</v>
      </c>
    </row>
    <row r="1333" spans="1:13" x14ac:dyDescent="0.3">
      <c r="A1333">
        <v>23</v>
      </c>
      <c r="B1333" t="s">
        <v>11</v>
      </c>
      <c r="C1333">
        <v>33.4</v>
      </c>
      <c r="D1333">
        <v>0</v>
      </c>
      <c r="E1333" t="s">
        <v>19</v>
      </c>
      <c r="F1333" t="s">
        <v>6</v>
      </c>
      <c r="G1333">
        <v>10795.937330000001</v>
      </c>
      <c r="H1333">
        <v>134</v>
      </c>
      <c r="I1333" t="s">
        <v>3</v>
      </c>
      <c r="J1333" t="b">
        <v>1</v>
      </c>
      <c r="K1333" t="s">
        <v>14</v>
      </c>
      <c r="L1333">
        <v>128348.04</v>
      </c>
      <c r="M1333" t="str" cm="1">
        <f t="array" ref="M1333">_xlfn.IFS(A1333&lt;30,"Young",A1333&lt;=50,"Adult",A1333&gt;50,"Senior")</f>
        <v>Young</v>
      </c>
    </row>
    <row r="1334" spans="1:13" x14ac:dyDescent="0.3">
      <c r="A1334">
        <v>52</v>
      </c>
      <c r="B1334" t="s">
        <v>11</v>
      </c>
      <c r="C1334">
        <v>44.7</v>
      </c>
      <c r="D1334">
        <v>3</v>
      </c>
      <c r="E1334" t="s">
        <v>19</v>
      </c>
      <c r="F1334" t="s">
        <v>6</v>
      </c>
      <c r="G1334">
        <v>11411.684999999999</v>
      </c>
      <c r="H1334">
        <v>127.1</v>
      </c>
      <c r="I1334" t="s">
        <v>0</v>
      </c>
      <c r="J1334" t="b">
        <v>1</v>
      </c>
      <c r="K1334" t="s">
        <v>14</v>
      </c>
      <c r="L1334">
        <v>58921.67</v>
      </c>
      <c r="M1334" t="str" cm="1">
        <f t="array" ref="M1334">_xlfn.IFS(A1334&lt;30,"Young",A1334&lt;=50,"Adult",A1334&gt;50,"Senior")</f>
        <v>Senior</v>
      </c>
    </row>
    <row r="1335" spans="1:13" x14ac:dyDescent="0.3">
      <c r="A1335">
        <v>50</v>
      </c>
      <c r="B1335" t="s">
        <v>12</v>
      </c>
      <c r="C1335">
        <v>30.97</v>
      </c>
      <c r="D1335">
        <v>3</v>
      </c>
      <c r="E1335" t="s">
        <v>19</v>
      </c>
      <c r="F1335" t="s">
        <v>8</v>
      </c>
      <c r="G1335">
        <v>10600.5483</v>
      </c>
      <c r="H1335">
        <v>116</v>
      </c>
      <c r="I1335" t="s">
        <v>3</v>
      </c>
      <c r="J1335" t="b">
        <v>0</v>
      </c>
      <c r="K1335" t="s">
        <v>15</v>
      </c>
      <c r="L1335">
        <v>189712.16</v>
      </c>
      <c r="M1335" t="str" cm="1">
        <f t="array" ref="M1335">_xlfn.IFS(A1335&lt;30,"Young",A1335&lt;=50,"Adult",A1335&gt;50,"Senior")</f>
        <v>Adult</v>
      </c>
    </row>
    <row r="1336" spans="1:13" x14ac:dyDescent="0.3">
      <c r="A1336">
        <v>18</v>
      </c>
      <c r="B1336" t="s">
        <v>11</v>
      </c>
      <c r="C1336">
        <v>31.92</v>
      </c>
      <c r="D1336">
        <v>0</v>
      </c>
      <c r="E1336" t="s">
        <v>19</v>
      </c>
      <c r="F1336" t="s">
        <v>9</v>
      </c>
      <c r="G1336">
        <v>2205.9807999999998</v>
      </c>
      <c r="H1336">
        <v>135.30000000000001</v>
      </c>
      <c r="I1336" t="s">
        <v>0</v>
      </c>
      <c r="J1336" t="b">
        <v>1</v>
      </c>
      <c r="K1336" t="s">
        <v>16</v>
      </c>
      <c r="L1336">
        <v>55686.61</v>
      </c>
      <c r="M1336" t="str" cm="1">
        <f t="array" ref="M1336">_xlfn.IFS(A1336&lt;30,"Young",A1336&lt;=50,"Adult",A1336&gt;50,"Senior")</f>
        <v>Young</v>
      </c>
    </row>
    <row r="1337" spans="1:13" x14ac:dyDescent="0.3">
      <c r="A1337">
        <v>18</v>
      </c>
      <c r="B1337" t="s">
        <v>11</v>
      </c>
      <c r="C1337">
        <v>36.85</v>
      </c>
      <c r="D1337">
        <v>0</v>
      </c>
      <c r="E1337" t="s">
        <v>19</v>
      </c>
      <c r="F1337" t="s">
        <v>7</v>
      </c>
      <c r="G1337">
        <v>1629.8335</v>
      </c>
      <c r="H1337">
        <v>124.5</v>
      </c>
      <c r="I1337" t="s">
        <v>3</v>
      </c>
      <c r="J1337" t="b">
        <v>1</v>
      </c>
      <c r="K1337" t="s">
        <v>16</v>
      </c>
      <c r="L1337">
        <v>189304.28</v>
      </c>
      <c r="M1337" t="str" cm="1">
        <f t="array" ref="M1337">_xlfn.IFS(A1337&lt;30,"Young",A1337&lt;=50,"Adult",A1337&gt;50,"Senior")</f>
        <v>Young</v>
      </c>
    </row>
    <row r="1338" spans="1:13" x14ac:dyDescent="0.3">
      <c r="A1338">
        <v>21</v>
      </c>
      <c r="B1338" t="s">
        <v>11</v>
      </c>
      <c r="C1338">
        <v>25.8</v>
      </c>
      <c r="D1338">
        <v>0</v>
      </c>
      <c r="E1338" t="s">
        <v>19</v>
      </c>
      <c r="F1338" t="s">
        <v>6</v>
      </c>
      <c r="G1338">
        <v>2007.9449999999999</v>
      </c>
      <c r="H1338">
        <v>137.1</v>
      </c>
      <c r="I1338" t="s">
        <v>2</v>
      </c>
      <c r="J1338" t="b">
        <v>1</v>
      </c>
      <c r="K1338" t="s">
        <v>16</v>
      </c>
      <c r="L1338">
        <v>134425.60999999999</v>
      </c>
      <c r="M1338" t="str" cm="1">
        <f t="array" ref="M1338">_xlfn.IFS(A1338&lt;30,"Young",A1338&lt;=50,"Adult",A1338&gt;50,"Senior")</f>
        <v>Young</v>
      </c>
    </row>
    <row r="1339" spans="1:13" x14ac:dyDescent="0.3">
      <c r="A1339">
        <v>61</v>
      </c>
      <c r="B1339" t="s">
        <v>11</v>
      </c>
      <c r="C1339">
        <v>30.4</v>
      </c>
      <c r="D1339">
        <v>0</v>
      </c>
      <c r="E1339" t="s">
        <v>18</v>
      </c>
      <c r="F1339" t="s">
        <v>8</v>
      </c>
      <c r="G1339">
        <v>29141.3603</v>
      </c>
      <c r="H1339">
        <v>129.1</v>
      </c>
      <c r="I1339" t="s">
        <v>3</v>
      </c>
      <c r="J1339" t="b">
        <v>0</v>
      </c>
      <c r="K1339" t="s">
        <v>15</v>
      </c>
      <c r="L1339">
        <v>83521.67</v>
      </c>
      <c r="M1339" t="str" cm="1">
        <f t="array" ref="M1339">_xlfn.IFS(A1339&lt;30,"Young",A1339&lt;=50,"Adult",A1339&gt;50,"Senior")</f>
        <v>Senior</v>
      </c>
    </row>
  </sheetData>
  <autoFilter ref="A1:M1" xr:uid="{651848C9-FC6D-477B-9CC2-25C6A5EBC33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D3937-4D9F-44E2-881C-D8E572684B1F}">
  <dimension ref="A3:B123"/>
  <sheetViews>
    <sheetView topLeftCell="A48" workbookViewId="0">
      <selection activeCell="C37" sqref="C37"/>
    </sheetView>
  </sheetViews>
  <sheetFormatPr defaultRowHeight="14.4" x14ac:dyDescent="0.3"/>
  <cols>
    <col min="1" max="2" width="11.109375" bestFit="1" customWidth="1"/>
    <col min="3" max="3" width="10" bestFit="1" customWidth="1"/>
  </cols>
  <sheetData>
    <row r="3" spans="1:2" x14ac:dyDescent="0.3">
      <c r="A3" s="2" t="s">
        <v>33</v>
      </c>
      <c r="B3" t="s">
        <v>42</v>
      </c>
    </row>
    <row r="4" spans="1:2" x14ac:dyDescent="0.3">
      <c r="A4" s="3" t="s">
        <v>38</v>
      </c>
      <c r="B4" s="6">
        <v>566</v>
      </c>
    </row>
    <row r="5" spans="1:2" x14ac:dyDescent="0.3">
      <c r="A5" s="3" t="s">
        <v>39</v>
      </c>
      <c r="B5" s="6">
        <v>356</v>
      </c>
    </row>
    <row r="6" spans="1:2" x14ac:dyDescent="0.3">
      <c r="A6" s="3" t="s">
        <v>40</v>
      </c>
      <c r="B6" s="6">
        <v>416</v>
      </c>
    </row>
    <row r="7" spans="1:2" x14ac:dyDescent="0.3">
      <c r="A7" s="3" t="s">
        <v>34</v>
      </c>
      <c r="B7" s="6">
        <v>1338</v>
      </c>
    </row>
    <row r="18" spans="1:2" x14ac:dyDescent="0.3">
      <c r="A18" s="2" t="s">
        <v>33</v>
      </c>
      <c r="B18" t="s">
        <v>36</v>
      </c>
    </row>
    <row r="19" spans="1:2" x14ac:dyDescent="0.3">
      <c r="A19" s="3" t="s">
        <v>38</v>
      </c>
      <c r="B19" s="4">
        <v>13233.744260070667</v>
      </c>
    </row>
    <row r="20" spans="1:2" x14ac:dyDescent="0.3">
      <c r="A20" s="3" t="s">
        <v>39</v>
      </c>
      <c r="B20" s="4">
        <v>18084.987222949429</v>
      </c>
    </row>
    <row r="21" spans="1:2" x14ac:dyDescent="0.3">
      <c r="A21" s="3" t="s">
        <v>40</v>
      </c>
      <c r="B21" s="4">
        <v>9200.1689619927838</v>
      </c>
    </row>
    <row r="22" spans="1:2" x14ac:dyDescent="0.3">
      <c r="A22" s="3" t="s">
        <v>34</v>
      </c>
      <c r="B22" s="4">
        <v>13270.422265141257</v>
      </c>
    </row>
    <row r="36" spans="1:2" x14ac:dyDescent="0.3">
      <c r="A36" s="2" t="s">
        <v>33</v>
      </c>
      <c r="B36" t="s">
        <v>37</v>
      </c>
    </row>
    <row r="37" spans="1:2" x14ac:dyDescent="0.3">
      <c r="A37" s="3" t="s">
        <v>38</v>
      </c>
      <c r="B37" s="4">
        <v>30.61712014134277</v>
      </c>
    </row>
    <row r="38" spans="1:2" x14ac:dyDescent="0.3">
      <c r="A38" s="3" t="s">
        <v>39</v>
      </c>
      <c r="B38" s="4">
        <v>31.706797752808974</v>
      </c>
    </row>
    <row r="39" spans="1:2" x14ac:dyDescent="0.3">
      <c r="A39" s="3" t="s">
        <v>40</v>
      </c>
      <c r="B39" s="4">
        <v>29.836646634615388</v>
      </c>
    </row>
    <row r="40" spans="1:2" x14ac:dyDescent="0.3">
      <c r="A40" s="3" t="s">
        <v>34</v>
      </c>
      <c r="B40" s="4">
        <v>30.664390881913285</v>
      </c>
    </row>
    <row r="54" spans="1:2" x14ac:dyDescent="0.3">
      <c r="A54" s="2" t="s">
        <v>33</v>
      </c>
      <c r="B54" t="s">
        <v>35</v>
      </c>
    </row>
    <row r="55" spans="1:2" x14ac:dyDescent="0.3">
      <c r="A55" s="3" t="s">
        <v>9</v>
      </c>
      <c r="B55" s="4">
        <v>324</v>
      </c>
    </row>
    <row r="56" spans="1:2" x14ac:dyDescent="0.3">
      <c r="A56" s="3" t="s">
        <v>8</v>
      </c>
      <c r="B56" s="4">
        <v>325</v>
      </c>
    </row>
    <row r="57" spans="1:2" x14ac:dyDescent="0.3">
      <c r="A57" s="3" t="s">
        <v>7</v>
      </c>
      <c r="B57" s="4">
        <v>364</v>
      </c>
    </row>
    <row r="58" spans="1:2" x14ac:dyDescent="0.3">
      <c r="A58" s="3" t="s">
        <v>6</v>
      </c>
      <c r="B58" s="4">
        <v>325</v>
      </c>
    </row>
    <row r="59" spans="1:2" x14ac:dyDescent="0.3">
      <c r="A59" s="3" t="s">
        <v>34</v>
      </c>
      <c r="B59" s="4">
        <v>1338</v>
      </c>
    </row>
    <row r="73" spans="1:2" x14ac:dyDescent="0.3">
      <c r="A73" s="2" t="s">
        <v>33</v>
      </c>
      <c r="B73" t="s">
        <v>36</v>
      </c>
    </row>
    <row r="74" spans="1:2" x14ac:dyDescent="0.3">
      <c r="A74" s="3">
        <v>0</v>
      </c>
      <c r="B74" s="4">
        <v>12337.080032144848</v>
      </c>
    </row>
    <row r="75" spans="1:2" x14ac:dyDescent="0.3">
      <c r="A75" s="3">
        <v>1</v>
      </c>
      <c r="B75" s="4">
        <v>12780.993262676913</v>
      </c>
    </row>
    <row r="76" spans="1:2" x14ac:dyDescent="0.3">
      <c r="A76" s="3">
        <v>2</v>
      </c>
      <c r="B76" s="4">
        <v>15073.563733958328</v>
      </c>
    </row>
    <row r="77" spans="1:2" x14ac:dyDescent="0.3">
      <c r="A77" s="3">
        <v>3</v>
      </c>
      <c r="B77" s="4">
        <v>15355.31836681528</v>
      </c>
    </row>
    <row r="78" spans="1:2" x14ac:dyDescent="0.3">
      <c r="A78" s="3">
        <v>4</v>
      </c>
      <c r="B78" s="4">
        <v>13850.656311199999</v>
      </c>
    </row>
    <row r="79" spans="1:2" x14ac:dyDescent="0.3">
      <c r="A79" s="3">
        <v>5</v>
      </c>
      <c r="B79" s="4">
        <v>8786.0352472222221</v>
      </c>
    </row>
    <row r="80" spans="1:2" x14ac:dyDescent="0.3">
      <c r="A80" s="3" t="s">
        <v>34</v>
      </c>
      <c r="B80" s="4">
        <v>13270.422265141251</v>
      </c>
    </row>
    <row r="93" spans="1:2" x14ac:dyDescent="0.3">
      <c r="A93" s="2" t="s">
        <v>33</v>
      </c>
      <c r="B93" t="s">
        <v>35</v>
      </c>
    </row>
    <row r="94" spans="1:2" x14ac:dyDescent="0.3">
      <c r="A94" s="3" t="s">
        <v>3</v>
      </c>
      <c r="B94" s="6">
        <v>349</v>
      </c>
    </row>
    <row r="95" spans="1:2" x14ac:dyDescent="0.3">
      <c r="A95" s="3" t="s">
        <v>0</v>
      </c>
      <c r="B95" s="6">
        <v>303</v>
      </c>
    </row>
    <row r="96" spans="1:2" x14ac:dyDescent="0.3">
      <c r="A96" s="3" t="s">
        <v>2</v>
      </c>
      <c r="B96" s="6">
        <v>334</v>
      </c>
    </row>
    <row r="97" spans="1:2" x14ac:dyDescent="0.3">
      <c r="A97" s="3" t="s">
        <v>1</v>
      </c>
      <c r="B97" s="6">
        <v>352</v>
      </c>
    </row>
    <row r="98" spans="1:2" x14ac:dyDescent="0.3">
      <c r="A98" s="3" t="s">
        <v>34</v>
      </c>
      <c r="B98" s="6">
        <v>1338</v>
      </c>
    </row>
    <row r="109" spans="1:2" x14ac:dyDescent="0.3">
      <c r="A109" t="s">
        <v>35</v>
      </c>
      <c r="B109">
        <f>GETPIVOTDATA("Age",$A$109)</f>
        <v>1338</v>
      </c>
    </row>
    <row r="110" spans="1:2" x14ac:dyDescent="0.3">
      <c r="A110" s="6">
        <v>1338</v>
      </c>
    </row>
    <row r="112" spans="1:2" x14ac:dyDescent="0.3">
      <c r="A112" t="s">
        <v>36</v>
      </c>
      <c r="B112" s="4">
        <f>GETPIVOTDATA("Charges",$A$112)</f>
        <v>13270.422265141257</v>
      </c>
    </row>
    <row r="113" spans="1:2" x14ac:dyDescent="0.3">
      <c r="A113" s="4">
        <v>13270.422265141257</v>
      </c>
    </row>
    <row r="115" spans="1:2" x14ac:dyDescent="0.3">
      <c r="A115" t="s">
        <v>37</v>
      </c>
      <c r="B115" s="4">
        <f>GETPIVOTDATA("BMI",$A$115)</f>
        <v>30.664390881913295</v>
      </c>
    </row>
    <row r="116" spans="1:2" x14ac:dyDescent="0.3">
      <c r="A116" s="4">
        <v>30.664390881913295</v>
      </c>
    </row>
    <row r="118" spans="1:2" x14ac:dyDescent="0.3">
      <c r="A118" t="s">
        <v>41</v>
      </c>
      <c r="B118" s="4">
        <f>GETPIVOTDATA("Blood_pressure",$A$118)</f>
        <v>124.45284005979093</v>
      </c>
    </row>
    <row r="119" spans="1:2" x14ac:dyDescent="0.3">
      <c r="A119" s="4">
        <v>124.45284005979093</v>
      </c>
    </row>
    <row r="122" spans="1:2" x14ac:dyDescent="0.3">
      <c r="A122" t="s">
        <v>35</v>
      </c>
      <c r="B122">
        <f>GETPIVOTDATA("Age",$A$122)</f>
        <v>1338</v>
      </c>
    </row>
    <row r="123" spans="1:2" x14ac:dyDescent="0.3">
      <c r="A123" s="6">
        <v>1338</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BF490-7725-476C-9411-F8B7493F347F}">
  <dimension ref="A1"/>
  <sheetViews>
    <sheetView showGridLines="0" tabSelected="1" workbookViewId="0">
      <selection activeCell="W56" sqref="W56"/>
    </sheetView>
  </sheetViews>
  <sheetFormatPr defaultRowHeight="14.4" x14ac:dyDescent="0.3"/>
  <cols>
    <col min="1" max="16384" width="8.88671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health_insurance_cost_and_risk_</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H</dc:creator>
  <cp:lastModifiedBy>sandrahari2204@outlook.com</cp:lastModifiedBy>
  <cp:lastPrinted>2026-07-04T06:35:20Z</cp:lastPrinted>
  <dcterms:created xsi:type="dcterms:W3CDTF">2026-07-02T06:29:40Z</dcterms:created>
  <dcterms:modified xsi:type="dcterms:W3CDTF">2026-07-22T15:28:30Z</dcterms:modified>
</cp:coreProperties>
</file>